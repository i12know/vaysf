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ible Challenge" sheetId="4" state="visible" r:id="rId4"/>
    <sheet xmlns:r="http://schemas.openxmlformats.org/officeDocument/2006/relationships" name="Pickleball" sheetId="5" state="visible" r:id="rId5"/>
    <sheet xmlns:r="http://schemas.openxmlformats.org/officeDocument/2006/relationships" name="Soccer - Coed Exhibition" sheetId="6" state="visible" r:id="rId6"/>
    <sheet xmlns:r="http://schemas.openxmlformats.org/officeDocument/2006/relationships" name="Track  Field" sheetId="7" state="visible" r:id="rId7"/>
    <sheet xmlns:r="http://schemas.openxmlformats.org/officeDocument/2006/relationships" name="Tug-of-war" sheetId="8" state="visible" r:id="rId8"/>
    <sheet xmlns:r="http://schemas.openxmlformats.org/officeDocument/2006/relationships" name="VB Men" sheetId="9" state="visible" r:id="rId9"/>
    <sheet xmlns:r="http://schemas.openxmlformats.org/officeDocument/2006/relationships" name="VB Women" sheetId="10" state="visible" r:id="rId10"/>
  </sheets>
  <definedNames>
    <definedName name="_xlnm._FilterDatabase" localSheetId="0" hidden="1">'Summary'!$A$1:$H$2</definedName>
    <definedName name="_xlnm._FilterDatabase" localSheetId="1" hidden="1">'Contacts-Status'!$A$1:$W$19</definedName>
    <definedName name="_xlnm._FilterDatabase" localSheetId="2" hidden="1">'Roster'!$A$1:$Q$21</definedName>
    <definedName name="_xlnm._FilterDatabase" localSheetId="3" hidden="1">'Bible Challenge'!$A$1:$P$3</definedName>
    <definedName name="_xlnm._FilterDatabase" localSheetId="4" hidden="1">'Pickleball'!$A$1:$P$2</definedName>
    <definedName name="_xlnm._FilterDatabase" localSheetId="5" hidden="1">'Soccer - Coed Exhibition'!$A$1:$P$3</definedName>
    <definedName name="_xlnm._FilterDatabase" localSheetId="6" hidden="1">'Track  Field'!$A$1:$P$6</definedName>
    <definedName name="_xlnm._FilterDatabase" localSheetId="7" hidden="1">'Tug-of-war'!$A$1:$P$3</definedName>
    <definedName name="_xlnm._FilterDatabase" localSheetId="8" hidden="1">'VB Men'!$A$1:$P$5</definedName>
    <definedName name="_xlnm._FilterDatabase" localSheetId="9" hidden="1">'VB Women'!$A$1:$P$5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PCC</t>
        </is>
      </c>
      <c r="B2" t="n">
        <v>18</v>
      </c>
      <c r="C2" t="n">
        <v>10</v>
      </c>
      <c r="D2" t="n">
        <v>0</v>
      </c>
      <c r="E2" t="n">
        <v>10</v>
      </c>
      <c r="F2" t="n">
        <v>0</v>
      </c>
      <c r="G2" t="n">
        <v>4</v>
      </c>
      <c r="H2" t="inlineStr">
        <is>
          <t>2026-05-03 22:07:06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4.5" customWidth="1" min="3" max="3"/>
    <col width="4.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4" customWidth="1" min="10" max="10"/>
    <col width="7" customWidth="1" min="11" max="11"/>
    <col width="9" customWidth="1" min="12" max="12"/>
    <col width="9" customWidth="1" min="13" max="13"/>
    <col width="12" customWidth="1" min="14" max="14"/>
    <col width="23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PCC</t>
        </is>
      </c>
      <c r="B2" t="inlineStr">
        <is>
          <t>3615928</t>
        </is>
      </c>
      <c r="C2" t="inlineStr">
        <is>
          <t>Aimy</t>
        </is>
      </c>
      <c r="D2" t="inlineStr">
        <is>
          <t>Thach</t>
        </is>
      </c>
      <c r="E2" t="inlineStr">
        <is>
          <t>Yes</t>
        </is>
      </c>
      <c r="F2" t="inlineStr">
        <is>
          <t>Yes</t>
        </is>
      </c>
      <c r="G2" t="inlineStr">
        <is>
          <t>98</t>
        </is>
      </c>
      <c r="H2" t="inlineStr">
        <is>
          <t>pending</t>
        </is>
      </c>
      <c r="I2" t="n">
        <v>3</v>
      </c>
      <c r="J2" t="inlineStr">
        <is>
          <t>Female</t>
        </is>
      </c>
      <c r="K2" t="inlineStr">
        <is>
          <t>2026-05-03</t>
        </is>
      </c>
      <c r="L2" t="n">
        <v>0</v>
      </c>
      <c r="M2" t="inlineStr">
        <is>
          <t>(619) 832-2469</t>
        </is>
      </c>
      <c r="N2" t="inlineStr">
        <is>
          <t>aimythach2008@gmail.com</t>
        </is>
      </c>
      <c r="O2" t="inlineStr">
        <is>
          <t>Age 0 is below minimum age 13 for Volleyball</t>
        </is>
      </c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HYPERLINK("https://chmeetings.blob.core.windows.net/846969/attachments/yr8GQWRkaMhXEt644AUA/cc58517d-7f6e-43e7-b6eb-9441856782fb.jpg", "https://chmeetings.blob.core.windows.net/846969/attachments/yr8GQWRkaMhXEt644AUA/cc58517d-7f6e-43e7-b6eb-9441856782fb.jpg")</f>
        <v/>
      </c>
      <c r="W2" t="inlineStr">
        <is>
          <t>2026-05-03 21:55:36</t>
        </is>
      </c>
    </row>
    <row r="3">
      <c r="A3" t="inlineStr">
        <is>
          <t>PCC</t>
        </is>
      </c>
      <c r="B3" t="inlineStr">
        <is>
          <t>3610930</t>
        </is>
      </c>
      <c r="C3" t="inlineStr">
        <is>
          <t>Daisey</t>
        </is>
      </c>
      <c r="D3" t="inlineStr">
        <is>
          <t>Phan</t>
        </is>
      </c>
      <c r="E3" t="inlineStr">
        <is>
          <t>Yes</t>
        </is>
      </c>
      <c r="F3" t="inlineStr">
        <is>
          <t>Yes</t>
        </is>
      </c>
      <c r="G3" t="inlineStr">
        <is>
          <t>94</t>
        </is>
      </c>
      <c r="H3" t="inlineStr">
        <is>
          <t>pending</t>
        </is>
      </c>
      <c r="I3" t="n">
        <v>1</v>
      </c>
      <c r="J3" t="inlineStr">
        <is>
          <t>Female</t>
        </is>
      </c>
      <c r="K3" t="inlineStr">
        <is>
          <t>2009-12-14</t>
        </is>
      </c>
      <c r="L3" t="n">
        <v>16</v>
      </c>
      <c r="M3" t="inlineStr">
        <is>
          <t>(619) 227-8965</t>
        </is>
      </c>
      <c r="N3" t="inlineStr">
        <is>
          <t>daiseyphan441@gmail.com</t>
        </is>
      </c>
      <c r="O3" t="inlineStr">
        <is>
          <t>Consent form status unknown or not provided</t>
        </is>
      </c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HYPERLINK("https://chmeetings.blob.core.windows.net/846969/attachments/0334zPheP0iaYDfGUyBQ2A/484ab1fa-b9eb-4695-9798-897b62cb6b4f.jpg", "https://chmeetings.blob.core.windows.net/846969/attachments/0334zPheP0iaYDfGUyBQ2A/484ab1fa-b9eb-4695-9798-897b62cb6b4f.jpg")</f>
        <v/>
      </c>
      <c r="W3" t="inlineStr">
        <is>
          <t>2026-05-03 21:53:38</t>
        </is>
      </c>
    </row>
    <row r="4">
      <c r="A4" t="inlineStr">
        <is>
          <t>PCC</t>
        </is>
      </c>
      <c r="B4" t="inlineStr">
        <is>
          <t>3615923</t>
        </is>
      </c>
      <c r="C4" t="inlineStr">
        <is>
          <t>Cammy</t>
        </is>
      </c>
      <c r="D4" t="inlineStr">
        <is>
          <t>Thach</t>
        </is>
      </c>
      <c r="E4" t="inlineStr">
        <is>
          <t>Yes</t>
        </is>
      </c>
      <c r="F4" t="inlineStr">
        <is>
          <t>Yes</t>
        </is>
      </c>
      <c r="G4" t="inlineStr">
        <is>
          <t>95</t>
        </is>
      </c>
      <c r="H4" t="inlineStr">
        <is>
          <t>pending</t>
        </is>
      </c>
      <c r="I4" t="n">
        <v>1</v>
      </c>
      <c r="J4" t="inlineStr">
        <is>
          <t>Female</t>
        </is>
      </c>
      <c r="K4" t="inlineStr">
        <is>
          <t>2009-09-21</t>
        </is>
      </c>
      <c r="L4" t="n">
        <v>16</v>
      </c>
      <c r="M4" t="inlineStr">
        <is>
          <t>(619) 512-2261</t>
        </is>
      </c>
      <c r="N4" t="inlineStr">
        <is>
          <t>cammythach2009@gmail.com</t>
        </is>
      </c>
      <c r="O4" t="inlineStr">
        <is>
          <t>Consent form status unknown or not provided</t>
        </is>
      </c>
      <c r="P4" t="inlineStr"/>
      <c r="Q4" t="inlineStr"/>
      <c r="R4" t="inlineStr"/>
      <c r="S4" t="inlineStr"/>
      <c r="T4" t="inlineStr"/>
      <c r="U4" t="inlineStr"/>
      <c r="V4">
        <f>HYPERLINK("https://chmeetings.blob.core.windows.net/846969/attachments/IoPT5OC820MZ0J9W3iYjg/3b910098-b32e-4041-af82-6d4931dcb398.jpg", "https://chmeetings.blob.core.windows.net/846969/attachments/IoPT5OC820MZ0J9W3iYjg/3b910098-b32e-4041-af82-6d4931dcb398.jpg")</f>
        <v/>
      </c>
      <c r="W4" t="inlineStr">
        <is>
          <t>2026-05-03 21:55:21</t>
        </is>
      </c>
    </row>
    <row r="5">
      <c r="A5" t="inlineStr">
        <is>
          <t>PCC</t>
        </is>
      </c>
      <c r="B5" t="inlineStr">
        <is>
          <t>3615939</t>
        </is>
      </c>
      <c r="C5" t="inlineStr">
        <is>
          <t>Victoria</t>
        </is>
      </c>
      <c r="D5" t="inlineStr">
        <is>
          <t>Vuong</t>
        </is>
      </c>
      <c r="E5" t="inlineStr">
        <is>
          <t>Yes</t>
        </is>
      </c>
      <c r="F5" t="inlineStr">
        <is>
          <t>Yes</t>
        </is>
      </c>
      <c r="G5" t="inlineStr">
        <is>
          <t>103</t>
        </is>
      </c>
      <c r="H5" t="inlineStr">
        <is>
          <t>pending</t>
        </is>
      </c>
      <c r="I5" t="n">
        <v>1</v>
      </c>
      <c r="J5" t="inlineStr">
        <is>
          <t>Female</t>
        </is>
      </c>
      <c r="K5" t="inlineStr">
        <is>
          <t>2011-01-11</t>
        </is>
      </c>
      <c r="L5" t="n">
        <v>15</v>
      </c>
      <c r="M5" t="inlineStr">
        <is>
          <t>(858) 780-6524</t>
        </is>
      </c>
      <c r="N5" t="inlineStr">
        <is>
          <t>victoria.vuongg11@gmail.com</t>
        </is>
      </c>
      <c r="O5" t="inlineStr">
        <is>
          <t>Consent form status unknown or not provided</t>
        </is>
      </c>
      <c r="P5" t="inlineStr"/>
      <c r="Q5" t="inlineStr"/>
      <c r="R5" t="inlineStr"/>
      <c r="S5" t="inlineStr"/>
      <c r="T5" t="inlineStr"/>
      <c r="U5" t="inlineStr"/>
      <c r="V5">
        <f>HYPERLINK("https://chmeetings.blob.core.windows.net/846969/attachments/mM0gFFZvK0y4fHMGqX3qIA/e2efb60e-cb30-4d10-8462-78bce218d675.jpg", "https://chmeetings.blob.core.windows.net/846969/attachments/mM0gFFZvK0y4fHMGqX3qIA/e2efb60e-cb30-4d10-8462-78bce218d675.jpg")</f>
        <v/>
      </c>
      <c r="W5" t="inlineStr">
        <is>
          <t>2026-05-03 22:07:06</t>
        </is>
      </c>
    </row>
    <row r="6">
      <c r="A6" t="inlineStr">
        <is>
          <t>PCC</t>
        </is>
      </c>
      <c r="B6" t="inlineStr">
        <is>
          <t>3615924</t>
        </is>
      </c>
      <c r="C6" t="inlineStr">
        <is>
          <t>Sylas</t>
        </is>
      </c>
      <c r="D6" t="inlineStr">
        <is>
          <t>Doan</t>
        </is>
      </c>
      <c r="E6" t="inlineStr">
        <is>
          <t>Yes</t>
        </is>
      </c>
      <c r="F6" t="inlineStr">
        <is>
          <t>Yes</t>
        </is>
      </c>
      <c r="G6" t="inlineStr">
        <is>
          <t>96</t>
        </is>
      </c>
      <c r="H6" t="inlineStr">
        <is>
          <t>validated</t>
        </is>
      </c>
      <c r="I6" t="n">
        <v>0</v>
      </c>
      <c r="J6" t="inlineStr">
        <is>
          <t>Male</t>
        </is>
      </c>
      <c r="K6" t="inlineStr">
        <is>
          <t>2008-05-27</t>
        </is>
      </c>
      <c r="L6" t="n">
        <v>18</v>
      </c>
      <c r="M6" t="inlineStr">
        <is>
          <t>(619) 897-0626</t>
        </is>
      </c>
      <c r="N6" t="inlineStr">
        <is>
          <t>sylaskdoan@gmail.com</t>
        </is>
      </c>
      <c r="O6" t="inlineStr"/>
      <c r="P6" t="inlineStr"/>
      <c r="Q6" t="inlineStr"/>
      <c r="R6" t="inlineStr"/>
      <c r="S6" t="inlineStr"/>
      <c r="T6" t="inlineStr"/>
      <c r="U6" t="inlineStr"/>
      <c r="V6">
        <f>HYPERLINK("https://chmeetings.blob.core.windows.net/846969/attachments/MZuX3sULm0uE6GUDiZyag/d82bddb5-8dc3-451c-a737-e765849edbe5.jpg", "https://chmeetings.blob.core.windows.net/846969/attachments/MZuX3sULm0uE6GUDiZyag/d82bddb5-8dc3-451c-a737-e765849edbe5.jpg")</f>
        <v/>
      </c>
      <c r="W6" t="inlineStr">
        <is>
          <t>2026-05-03 22:01:52</t>
        </is>
      </c>
    </row>
    <row r="7">
      <c r="A7" t="inlineStr">
        <is>
          <t>PCC</t>
        </is>
      </c>
      <c r="B7" t="inlineStr">
        <is>
          <t>3615927</t>
        </is>
      </c>
      <c r="C7" t="inlineStr">
        <is>
          <t>Paul</t>
        </is>
      </c>
      <c r="D7" t="inlineStr">
        <is>
          <t>Huynh</t>
        </is>
      </c>
      <c r="E7" t="inlineStr">
        <is>
          <t>Yes</t>
        </is>
      </c>
      <c r="F7" t="inlineStr">
        <is>
          <t>Yes</t>
        </is>
      </c>
      <c r="G7" t="inlineStr">
        <is>
          <t>102</t>
        </is>
      </c>
      <c r="H7" t="inlineStr">
        <is>
          <t>validated</t>
        </is>
      </c>
      <c r="I7" t="n">
        <v>0</v>
      </c>
      <c r="J7" t="inlineStr">
        <is>
          <t>Male</t>
        </is>
      </c>
      <c r="K7" t="inlineStr">
        <is>
          <t>2007-07-21</t>
        </is>
      </c>
      <c r="L7" t="n">
        <v>18</v>
      </c>
      <c r="M7" t="inlineStr">
        <is>
          <t>(858) 933-7306</t>
        </is>
      </c>
      <c r="N7" t="inlineStr">
        <is>
          <t>Noodle_storm1@icloud.com</t>
        </is>
      </c>
      <c r="O7" t="inlineStr"/>
      <c r="P7" t="inlineStr"/>
      <c r="Q7" t="inlineStr"/>
      <c r="R7" t="inlineStr"/>
      <c r="S7" t="inlineStr"/>
      <c r="T7" t="inlineStr"/>
      <c r="U7" t="inlineStr"/>
      <c r="V7">
        <f>HYPERLINK("https://chmeetings.blob.core.windows.net/846969/attachments/Zrta8DMWUakk9LacvoTg/f5ca0686-d499-4f36-aaf7-2daa1d8d7752.jpg", "https://chmeetings.blob.core.windows.net/846969/attachments/Zrta8DMWUakk9LacvoTg/f5ca0686-d499-4f36-aaf7-2daa1d8d7752.jpg")</f>
        <v/>
      </c>
      <c r="W7" t="inlineStr">
        <is>
          <t>2026-05-03 21:58:37</t>
        </is>
      </c>
    </row>
    <row r="8">
      <c r="A8" t="inlineStr">
        <is>
          <t>PCC</t>
        </is>
      </c>
      <c r="B8" t="inlineStr">
        <is>
          <t>3615926</t>
        </is>
      </c>
      <c r="C8" t="inlineStr">
        <is>
          <t>Paula</t>
        </is>
      </c>
      <c r="D8" t="inlineStr">
        <is>
          <t>Huynh</t>
        </is>
      </c>
      <c r="E8" t="inlineStr">
        <is>
          <t>Yes</t>
        </is>
      </c>
      <c r="F8" t="inlineStr">
        <is>
          <t>Yes</t>
        </is>
      </c>
      <c r="G8" t="inlineStr">
        <is>
          <t>97</t>
        </is>
      </c>
      <c r="H8" t="inlineStr">
        <is>
          <t>validated</t>
        </is>
      </c>
      <c r="I8" t="n">
        <v>0</v>
      </c>
      <c r="J8" t="inlineStr">
        <is>
          <t>Female</t>
        </is>
      </c>
      <c r="K8" t="inlineStr">
        <is>
          <t>2008-07-14</t>
        </is>
      </c>
      <c r="L8" t="n">
        <v>18</v>
      </c>
      <c r="M8" t="inlineStr">
        <is>
          <t>(858) 269-9236</t>
        </is>
      </c>
      <c r="N8" t="inlineStr">
        <is>
          <t>paula.huynh08@gmail.com</t>
        </is>
      </c>
      <c r="O8" t="inlineStr"/>
      <c r="P8" t="inlineStr"/>
      <c r="Q8" t="inlineStr"/>
      <c r="R8" t="inlineStr"/>
      <c r="S8" t="inlineStr"/>
      <c r="T8" t="inlineStr"/>
      <c r="U8" t="inlineStr"/>
      <c r="V8">
        <f>HYPERLINK("https://chmeetings.blob.core.windows.net/846969/attachments/JQzE4BjkGi1nJQdHKtA/dda63993-8871-4240-91ab-97d72c1f74f0.jpg", "https://chmeetings.blob.core.windows.net/846969/attachments/JQzE4BjkGi1nJQdHKtA/dda63993-8871-4240-91ab-97d72c1f74f0.jpg")</f>
        <v/>
      </c>
      <c r="W8" t="inlineStr">
        <is>
          <t>2026-05-03 21:54:06</t>
        </is>
      </c>
    </row>
    <row r="9">
      <c r="A9" t="inlineStr">
        <is>
          <t>PCC</t>
        </is>
      </c>
      <c r="B9" t="inlineStr">
        <is>
          <t>3610932</t>
        </is>
      </c>
      <c r="C9" t="inlineStr">
        <is>
          <t>Jerry</t>
        </is>
      </c>
      <c r="D9" t="inlineStr">
        <is>
          <t>Lai</t>
        </is>
      </c>
      <c r="E9" t="inlineStr">
        <is>
          <t>Yes</t>
        </is>
      </c>
      <c r="F9" t="inlineStr">
        <is>
          <t>No</t>
        </is>
      </c>
      <c r="G9" t="inlineStr">
        <is>
          <t>99</t>
        </is>
      </c>
      <c r="H9" t="inlineStr">
        <is>
          <t>validated</t>
        </is>
      </c>
      <c r="I9" t="n">
        <v>0</v>
      </c>
      <c r="J9" t="inlineStr">
        <is>
          <t>Male</t>
        </is>
      </c>
      <c r="K9" t="inlineStr">
        <is>
          <t>1997-10-12</t>
        </is>
      </c>
      <c r="L9" t="n">
        <v>28</v>
      </c>
      <c r="M9" t="inlineStr">
        <is>
          <t>(619) 402-7575</t>
        </is>
      </c>
      <c r="N9" t="inlineStr">
        <is>
          <t>jerry_lai1997@yahoo.com</t>
        </is>
      </c>
      <c r="O9" t="inlineStr"/>
      <c r="P9" t="inlineStr"/>
      <c r="Q9" t="inlineStr"/>
      <c r="R9" t="inlineStr"/>
      <c r="S9" t="inlineStr"/>
      <c r="T9" t="inlineStr"/>
      <c r="U9" t="inlineStr"/>
      <c r="V9">
        <f>HYPERLINK("https://chmeetings.blob.core.windows.net/846969/attachments/jSqCYDu6wEGhHmvDctKIw/adebb1ad-5662-4028-b258-23ce1c422218.jpg", "https://chmeetings.blob.core.windows.net/846969/attachments/jSqCYDu6wEGhHmvDctKIw/adebb1ad-5662-4028-b258-23ce1c422218.jpg")</f>
        <v/>
      </c>
      <c r="W9" t="inlineStr">
        <is>
          <t>2026-05-03 21:54:21</t>
        </is>
      </c>
    </row>
    <row r="10">
      <c r="A10" t="inlineStr">
        <is>
          <t>PCC</t>
        </is>
      </c>
      <c r="B10" t="inlineStr">
        <is>
          <t>3610933</t>
        </is>
      </c>
      <c r="C10" t="inlineStr">
        <is>
          <t>khang</t>
        </is>
      </c>
      <c r="D10" t="inlineStr">
        <is>
          <t>huynh</t>
        </is>
      </c>
      <c r="E10" t="inlineStr">
        <is>
          <t>Yes</t>
        </is>
      </c>
      <c r="F10" t="inlineStr">
        <is>
          <t>Yes</t>
        </is>
      </c>
      <c r="G10" t="inlineStr">
        <is>
          <t>101</t>
        </is>
      </c>
      <c r="H10" t="inlineStr">
        <is>
          <t>validated</t>
        </is>
      </c>
      <c r="I10" t="n">
        <v>0</v>
      </c>
      <c r="J10" t="inlineStr">
        <is>
          <t>Male</t>
        </is>
      </c>
      <c r="K10" t="inlineStr">
        <is>
          <t>2005-10-16</t>
        </is>
      </c>
      <c r="L10" t="n">
        <v>20</v>
      </c>
      <c r="M10" t="inlineStr">
        <is>
          <t>(858) 305-9787</t>
        </is>
      </c>
      <c r="N10" t="inlineStr">
        <is>
          <t>khanghuynh1324@icloud.com</t>
        </is>
      </c>
      <c r="O10" t="inlineStr"/>
      <c r="P10" t="inlineStr"/>
      <c r="Q10" t="inlineStr"/>
      <c r="R10" t="inlineStr"/>
      <c r="S10" t="inlineStr"/>
      <c r="T10" t="inlineStr"/>
      <c r="U10" t="inlineStr"/>
      <c r="V10">
        <f>HYPERLINK("https://chmeetings.blob.core.windows.net/846969/attachments/rsy8NHglukeGParGAUGW1g/b5dcbd2f-ae7f-4d6e-b042-75f29e50fee8.jpg", "https://chmeetings.blob.core.windows.net/846969/attachments/rsy8NHglukeGParGAUGW1g/b5dcbd2f-ae7f-4d6e-b042-75f29e50fee8.jpg")</f>
        <v/>
      </c>
      <c r="W10" t="inlineStr">
        <is>
          <t>2026-05-03 21:59:36</t>
        </is>
      </c>
    </row>
    <row r="11">
      <c r="A11" t="inlineStr">
        <is>
          <t>PCC</t>
        </is>
      </c>
      <c r="B11" t="inlineStr">
        <is>
          <t>3610934</t>
        </is>
      </c>
      <c r="C11" t="inlineStr">
        <is>
          <t>terry</t>
        </is>
      </c>
      <c r="D11" t="inlineStr">
        <is>
          <t>lai</t>
        </is>
      </c>
      <c r="E11" t="inlineStr">
        <is>
          <t>Yes</t>
        </is>
      </c>
      <c r="F11" t="inlineStr">
        <is>
          <t>Yes</t>
        </is>
      </c>
      <c r="G11" t="inlineStr">
        <is>
          <t>100</t>
        </is>
      </c>
      <c r="H11" t="inlineStr">
        <is>
          <t>validated</t>
        </is>
      </c>
      <c r="I11" t="n">
        <v>0</v>
      </c>
      <c r="J11" t="inlineStr">
        <is>
          <t>Male</t>
        </is>
      </c>
      <c r="K11" t="inlineStr">
        <is>
          <t>2001-02-18</t>
        </is>
      </c>
      <c r="L11" t="n">
        <v>25</v>
      </c>
      <c r="M11" t="inlineStr">
        <is>
          <t>(619) 219-1666</t>
        </is>
      </c>
      <c r="N11" t="inlineStr">
        <is>
          <t>laiterry123@gmail.com</t>
        </is>
      </c>
      <c r="O11" t="inlineStr"/>
      <c r="P11" t="inlineStr"/>
      <c r="Q11" t="inlineStr"/>
      <c r="R11" t="inlineStr"/>
      <c r="S11" t="inlineStr"/>
      <c r="T11" t="inlineStr"/>
      <c r="U11" t="inlineStr"/>
      <c r="V11">
        <f>HYPERLINK("https://chmeetings.blob.core.windows.net/846969/attachments/UlcCVYaeNEOKklkE1etEw/8f0e0555-8491-4b7e-a7d5-4ea2e10c6a0c.jpg", "https://chmeetings.blob.core.windows.net/846969/attachments/UlcCVYaeNEOKklkE1etEw/8f0e0555-8491-4b7e-a7d5-4ea2e10c6a0c.jpg")</f>
        <v/>
      </c>
      <c r="W11" t="inlineStr">
        <is>
          <t>2026-05-03 21:54:44</t>
        </is>
      </c>
    </row>
    <row r="12">
      <c r="A12" t="inlineStr">
        <is>
          <t>PCC</t>
        </is>
      </c>
      <c r="B12" t="inlineStr">
        <is>
          <t>3615937</t>
        </is>
      </c>
      <c r="C12" t="inlineStr">
        <is>
          <t>Amanda</t>
        </is>
      </c>
      <c r="D12" t="inlineStr">
        <is>
          <t>Dao</t>
        </is>
      </c>
      <c r="E12" t="inlineStr">
        <is>
          <t>No</t>
        </is>
      </c>
      <c r="F12" t="inlineStr">
        <is>
          <t>No</t>
        </is>
      </c>
      <c r="G12" t="n">
        <v>0</v>
      </c>
      <c r="H12" t="inlineStr">
        <is>
          <t>N/A</t>
        </is>
      </c>
      <c r="I12" t="n">
        <v>0</v>
      </c>
      <c r="J12" t="inlineStr">
        <is>
          <t>Female</t>
        </is>
      </c>
      <c r="K12" t="inlineStr">
        <is>
          <t>2010-01-01</t>
        </is>
      </c>
      <c r="L12" t="n">
        <v>16</v>
      </c>
      <c r="M12" t="inlineStr">
        <is>
          <t>(858) 634-0634</t>
        </is>
      </c>
      <c r="N12" t="inlineStr">
        <is>
          <t>amandatdao@gmail.com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N/A</t>
        </is>
      </c>
      <c r="W12" t="inlineStr">
        <is>
          <t>2026-04-16 13:47:47</t>
        </is>
      </c>
    </row>
    <row r="13">
      <c r="A13" t="inlineStr">
        <is>
          <t>PCC</t>
        </is>
      </c>
      <c r="B13" t="inlineStr">
        <is>
          <t>3615936</t>
        </is>
      </c>
      <c r="C13" t="inlineStr">
        <is>
          <t>Timothy</t>
        </is>
      </c>
      <c r="D13" t="inlineStr">
        <is>
          <t>Dao</t>
        </is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N/A</t>
        </is>
      </c>
      <c r="I13" t="n">
        <v>0</v>
      </c>
      <c r="J13" t="inlineStr">
        <is>
          <t>Male</t>
        </is>
      </c>
      <c r="K13" t="inlineStr">
        <is>
          <t>2007-04-19</t>
        </is>
      </c>
      <c r="L13" t="n">
        <v>19</v>
      </c>
      <c r="M13" t="inlineStr">
        <is>
          <t>(858) 375-6609</t>
        </is>
      </c>
      <c r="N13" t="inlineStr">
        <is>
          <t>timothyhdao@gmail.com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N/A</t>
        </is>
      </c>
      <c r="W13" t="inlineStr">
        <is>
          <t>2026-04-16 13:44:00</t>
        </is>
      </c>
    </row>
    <row r="14">
      <c r="A14" t="inlineStr">
        <is>
          <t>PCC</t>
        </is>
      </c>
      <c r="B14" t="inlineStr">
        <is>
          <t>3616818</t>
        </is>
      </c>
      <c r="C14" t="inlineStr">
        <is>
          <t>Edyn</t>
        </is>
      </c>
      <c r="D14" t="inlineStr">
        <is>
          <t>Doan</t>
        </is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N/A</t>
        </is>
      </c>
      <c r="I14" t="n">
        <v>0</v>
      </c>
      <c r="J14" t="inlineStr">
        <is>
          <t>Female</t>
        </is>
      </c>
      <c r="K14" t="inlineStr">
        <is>
          <t>2010-03-23</t>
        </is>
      </c>
      <c r="L14" t="n">
        <v>16</v>
      </c>
      <c r="M14" t="inlineStr">
        <is>
          <t>(619) 897-0567</t>
        </is>
      </c>
      <c r="N14" t="inlineStr">
        <is>
          <t>Edynhdoan@gmail.com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N/A</t>
        </is>
      </c>
      <c r="W14" t="inlineStr">
        <is>
          <t>2026-04-16 13:47:48</t>
        </is>
      </c>
    </row>
    <row r="15">
      <c r="A15" t="inlineStr">
        <is>
          <t>PCC</t>
        </is>
      </c>
      <c r="B15" t="inlineStr">
        <is>
          <t>3616815</t>
        </is>
      </c>
      <c r="C15" t="inlineStr">
        <is>
          <t>Kenny</t>
        </is>
      </c>
      <c r="D15" t="inlineStr">
        <is>
          <t>Phan</t>
        </is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N/A</t>
        </is>
      </c>
      <c r="I15" t="n">
        <v>0</v>
      </c>
      <c r="J15" t="inlineStr">
        <is>
          <t>Male</t>
        </is>
      </c>
      <c r="K15" t="inlineStr">
        <is>
          <t>2004-09-27</t>
        </is>
      </c>
      <c r="L15" t="n">
        <v>21</v>
      </c>
      <c r="M15" t="inlineStr">
        <is>
          <t>(858) 436-5561</t>
        </is>
      </c>
      <c r="N15" t="inlineStr">
        <is>
          <t>phankenny28@gmail.com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N/A</t>
        </is>
      </c>
      <c r="W15" t="inlineStr">
        <is>
          <t>2026-04-16 13:44:39</t>
        </is>
      </c>
    </row>
    <row r="16">
      <c r="A16" t="inlineStr">
        <is>
          <t>PCC</t>
        </is>
      </c>
      <c r="B16" t="inlineStr">
        <is>
          <t>3616814</t>
        </is>
      </c>
      <c r="C16" t="inlineStr">
        <is>
          <t>Diemmy</t>
        </is>
      </c>
      <c r="D16" t="inlineStr">
        <is>
          <t>Thach</t>
        </is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N/A</t>
        </is>
      </c>
      <c r="I16" t="n">
        <v>0</v>
      </c>
      <c r="J16" t="inlineStr">
        <is>
          <t>Female</t>
        </is>
      </c>
      <c r="K16" t="inlineStr">
        <is>
          <t>2012-01-20</t>
        </is>
      </c>
      <c r="L16" t="n">
        <v>14</v>
      </c>
      <c r="M16" t="inlineStr">
        <is>
          <t>(619) 512-2647</t>
        </is>
      </c>
      <c r="N16" t="inlineStr">
        <is>
          <t>diemmy2012thach@gmail.com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N/A</t>
        </is>
      </c>
      <c r="W16" t="inlineStr">
        <is>
          <t>2026-04-16 13:44:42</t>
        </is>
      </c>
    </row>
    <row r="17">
      <c r="A17" t="inlineStr">
        <is>
          <t>PCC</t>
        </is>
      </c>
      <c r="B17" t="inlineStr">
        <is>
          <t>3615922</t>
        </is>
      </c>
      <c r="C17" t="inlineStr">
        <is>
          <t>Jaiden</t>
        </is>
      </c>
      <c r="D17" t="inlineStr">
        <is>
          <t>Truong</t>
        </is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N/A</t>
        </is>
      </c>
      <c r="I17" t="n">
        <v>0</v>
      </c>
      <c r="J17" t="inlineStr">
        <is>
          <t>Female</t>
        </is>
      </c>
      <c r="K17" t="inlineStr">
        <is>
          <t>2009-03-21</t>
        </is>
      </c>
      <c r="L17" t="n">
        <v>17</v>
      </c>
      <c r="M17" t="inlineStr">
        <is>
          <t>(619) 204-4955</t>
        </is>
      </c>
      <c r="N17" t="inlineStr">
        <is>
          <t>truongjaiden@gmail.com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N/A</t>
        </is>
      </c>
      <c r="W17" t="inlineStr">
        <is>
          <t>2026-04-16 13:47:55</t>
        </is>
      </c>
    </row>
    <row r="18">
      <c r="A18" t="inlineStr">
        <is>
          <t>PCC</t>
        </is>
      </c>
      <c r="B18" t="inlineStr">
        <is>
          <t>3615925</t>
        </is>
      </c>
      <c r="C18" t="inlineStr">
        <is>
          <t>Sophia</t>
        </is>
      </c>
      <c r="D18" t="inlineStr">
        <is>
          <t>Truong</t>
        </is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N/A</t>
        </is>
      </c>
      <c r="I18" t="n">
        <v>0</v>
      </c>
      <c r="J18" t="inlineStr">
        <is>
          <t>Female</t>
        </is>
      </c>
      <c r="K18" t="inlineStr">
        <is>
          <t>2009-05-10</t>
        </is>
      </c>
      <c r="L18" t="n">
        <v>17</v>
      </c>
      <c r="M18" t="inlineStr">
        <is>
          <t>(858) 610-2250</t>
        </is>
      </c>
      <c r="N18" t="inlineStr">
        <is>
          <t>sophiatruonggg@gmail.com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N/A</t>
        </is>
      </c>
      <c r="W18" t="inlineStr">
        <is>
          <t>2026-04-16 13:47:56</t>
        </is>
      </c>
    </row>
    <row r="19">
      <c r="A19" t="inlineStr">
        <is>
          <t>PCC</t>
        </is>
      </c>
      <c r="B19" t="inlineStr">
        <is>
          <t>3610935</t>
        </is>
      </c>
      <c r="C19" t="inlineStr">
        <is>
          <t>onric</t>
        </is>
      </c>
      <c r="D19" t="inlineStr">
        <is>
          <t>chewy</t>
        </is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N/A</t>
        </is>
      </c>
      <c r="I19" t="n">
        <v>0</v>
      </c>
      <c r="J19" t="inlineStr">
        <is>
          <t>Male</t>
        </is>
      </c>
      <c r="K19" t="inlineStr">
        <is>
          <t>2001-11-29</t>
        </is>
      </c>
      <c r="L19" t="n">
        <v>24</v>
      </c>
      <c r="M19" t="inlineStr">
        <is>
          <t>(619) 772-2007</t>
        </is>
      </c>
      <c r="N19" t="inlineStr">
        <is>
          <t>onricchewy@gmail.com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N/A</t>
        </is>
      </c>
      <c r="W19" t="inlineStr">
        <is>
          <t>2026-04-16 13:43:59</t>
        </is>
      </c>
    </row>
  </sheetData>
  <autoFilter ref="A1:W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4.5" customWidth="1" min="8" max="8"/>
    <col width="5" customWidth="1" min="9" max="9"/>
    <col width="9" customWidth="1" min="10" max="10"/>
    <col width="9" customWidth="1" min="11" max="11"/>
    <col width="15.5" customWidth="1" min="12" max="12"/>
    <col width="7" customWidth="1" min="13" max="13"/>
    <col width="8" customWidth="1" min="14" max="14"/>
    <col width="8" customWidth="1" min="15" max="15"/>
    <col width="7" customWidth="1" min="16" max="16"/>
    <col width="7.5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PCC</t>
        </is>
      </c>
      <c r="B2" t="inlineStr">
        <is>
          <t>3615926</t>
        </is>
      </c>
      <c r="C2" t="inlineStr">
        <is>
          <t>97</t>
        </is>
      </c>
      <c r="D2" t="inlineStr">
        <is>
          <t>validated</t>
        </is>
      </c>
      <c r="E2" t="b">
        <v>1</v>
      </c>
      <c r="F2">
        <f>IMAGE("https://chmeetings.blob.core.windows.net/846969/attachments/JQzE4BjkGi1nJQdHKtA/dda63993-8871-4240-91ab-97d72c1f74f0.jpg")</f>
        <v/>
      </c>
      <c r="G2" t="inlineStr">
        <is>
          <t>Paula</t>
        </is>
      </c>
      <c r="H2" t="inlineStr">
        <is>
          <t>Huynh</t>
        </is>
      </c>
      <c r="I2" t="inlineStr">
        <is>
          <t>Female</t>
        </is>
      </c>
      <c r="J2" t="n">
        <v>18</v>
      </c>
      <c r="K2" t="inlineStr">
        <is>
          <t>(858) 269-9236</t>
        </is>
      </c>
      <c r="L2" t="inlineStr">
        <is>
          <t>paula.huynh08@gmail.com</t>
        </is>
      </c>
      <c r="M2" t="inlineStr">
        <is>
          <t>Bible Challenge</t>
        </is>
      </c>
      <c r="N2" t="inlineStr">
        <is>
          <t>Mixed</t>
        </is>
      </c>
      <c r="O2" t="inlineStr">
        <is>
          <t>Team</t>
        </is>
      </c>
      <c r="P2" t="inlineStr"/>
      <c r="Q2" t="inlineStr"/>
    </row>
    <row r="3">
      <c r="A3" t="inlineStr">
        <is>
          <t>PCC</t>
        </is>
      </c>
      <c r="B3" t="inlineStr">
        <is>
          <t>3615939</t>
        </is>
      </c>
      <c r="C3" t="inlineStr">
        <is>
          <t>103</t>
        </is>
      </c>
      <c r="D3" t="inlineStr">
        <is>
          <t>pending</t>
        </is>
      </c>
      <c r="E3" t="b">
        <v>1</v>
      </c>
      <c r="F3">
        <f>IMAGE("https://chmeetings.blob.core.windows.net/846969/attachments/mM0gFFZvK0y4fHMGqX3qIA/e2efb60e-cb30-4d10-8462-78bce218d675.jpg")</f>
        <v/>
      </c>
      <c r="G3" t="inlineStr">
        <is>
          <t>Victoria</t>
        </is>
      </c>
      <c r="H3" t="inlineStr">
        <is>
          <t>Vuong</t>
        </is>
      </c>
      <c r="I3" t="inlineStr">
        <is>
          <t>Female</t>
        </is>
      </c>
      <c r="J3" t="n">
        <v>15</v>
      </c>
      <c r="K3" t="inlineStr">
        <is>
          <t>(858) 780-6524</t>
        </is>
      </c>
      <c r="L3" t="inlineStr">
        <is>
          <t>victoria.vuongg11@gmail.com</t>
        </is>
      </c>
      <c r="M3" t="inlineStr">
        <is>
          <t>Bible Challenge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PCC</t>
        </is>
      </c>
      <c r="B4" t="inlineStr">
        <is>
          <t>3615924</t>
        </is>
      </c>
      <c r="C4" t="inlineStr">
        <is>
          <t>96</t>
        </is>
      </c>
      <c r="D4" t="inlineStr">
        <is>
          <t>validated</t>
        </is>
      </c>
      <c r="E4" t="b">
        <v>1</v>
      </c>
      <c r="F4">
        <f>IMAGE("https://chmeetings.blob.core.windows.net/846969/attachments/MZuX3sULm0uE6GUDiZyag/d82bddb5-8dc3-451c-a737-e765849edbe5.jpg")</f>
        <v/>
      </c>
      <c r="G4" t="inlineStr">
        <is>
          <t>Sylas</t>
        </is>
      </c>
      <c r="H4" t="inlineStr">
        <is>
          <t>Doan</t>
        </is>
      </c>
      <c r="I4" t="inlineStr">
        <is>
          <t>Male</t>
        </is>
      </c>
      <c r="J4" t="n">
        <v>18</v>
      </c>
      <c r="K4" t="inlineStr">
        <is>
          <t>(619) 897-0626</t>
        </is>
      </c>
      <c r="L4" t="inlineStr">
        <is>
          <t>sylaskdoan@gmail.com</t>
        </is>
      </c>
      <c r="M4" t="inlineStr">
        <is>
          <t>Pickleball</t>
        </is>
      </c>
      <c r="N4" t="inlineStr">
        <is>
          <t>Mixed</t>
        </is>
      </c>
      <c r="O4" t="inlineStr">
        <is>
          <t>Team</t>
        </is>
      </c>
      <c r="P4" t="inlineStr"/>
      <c r="Q4" t="inlineStr"/>
    </row>
    <row r="5">
      <c r="A5" t="inlineStr">
        <is>
          <t>PCC</t>
        </is>
      </c>
      <c r="B5" t="inlineStr">
        <is>
          <t>3615924</t>
        </is>
      </c>
      <c r="C5" t="inlineStr">
        <is>
          <t>96</t>
        </is>
      </c>
      <c r="D5" t="inlineStr">
        <is>
          <t>validated</t>
        </is>
      </c>
      <c r="E5" t="b">
        <v>1</v>
      </c>
      <c r="F5">
        <f>IMAGE("https://chmeetings.blob.core.windows.net/846969/attachments/MZuX3sULm0uE6GUDiZyag/d82bddb5-8dc3-451c-a737-e765849edbe5.jpg")</f>
        <v/>
      </c>
      <c r="G5" t="inlineStr">
        <is>
          <t>Sylas</t>
        </is>
      </c>
      <c r="H5" t="inlineStr">
        <is>
          <t>Doan</t>
        </is>
      </c>
      <c r="I5" t="inlineStr">
        <is>
          <t>Male</t>
        </is>
      </c>
      <c r="J5" t="n">
        <v>18</v>
      </c>
      <c r="K5" t="inlineStr">
        <is>
          <t>(619) 897-0626</t>
        </is>
      </c>
      <c r="L5" t="inlineStr">
        <is>
          <t>sylaskdoan@gmail.com</t>
        </is>
      </c>
      <c r="M5" t="inlineStr">
        <is>
          <t>Soccer - Coed Exhibition</t>
        </is>
      </c>
      <c r="N5" t="inlineStr">
        <is>
          <t>Mixed</t>
        </is>
      </c>
      <c r="O5" t="inlineStr">
        <is>
          <t>Team</t>
        </is>
      </c>
      <c r="P5" t="inlineStr"/>
      <c r="Q5" t="inlineStr"/>
    </row>
    <row r="6">
      <c r="A6" t="inlineStr">
        <is>
          <t>PCC</t>
        </is>
      </c>
      <c r="B6" t="inlineStr">
        <is>
          <t>3610933</t>
        </is>
      </c>
      <c r="C6" t="inlineStr">
        <is>
          <t>101</t>
        </is>
      </c>
      <c r="D6" t="inlineStr">
        <is>
          <t>validated</t>
        </is>
      </c>
      <c r="E6" t="b">
        <v>1</v>
      </c>
      <c r="F6">
        <f>IMAGE("https://chmeetings.blob.core.windows.net/846969/attachments/rsy8NHglukeGParGAUGW1g/b5dcbd2f-ae7f-4d6e-b042-75f29e50fee8.jpg")</f>
        <v/>
      </c>
      <c r="G6" t="inlineStr">
        <is>
          <t>khang</t>
        </is>
      </c>
      <c r="H6" t="inlineStr">
        <is>
          <t>huynh</t>
        </is>
      </c>
      <c r="I6" t="inlineStr">
        <is>
          <t>Male</t>
        </is>
      </c>
      <c r="J6" t="n">
        <v>20</v>
      </c>
      <c r="K6" t="inlineStr">
        <is>
          <t>(858) 305-9787</t>
        </is>
      </c>
      <c r="L6" t="inlineStr">
        <is>
          <t>khanghuynh1324@icloud.com</t>
        </is>
      </c>
      <c r="M6" t="inlineStr">
        <is>
          <t>Soccer - Coed Exhibition</t>
        </is>
      </c>
      <c r="N6" t="inlineStr">
        <is>
          <t>Mixed</t>
        </is>
      </c>
      <c r="O6" t="inlineStr">
        <is>
          <t>Team</t>
        </is>
      </c>
      <c r="P6" t="inlineStr"/>
      <c r="Q6" t="inlineStr"/>
    </row>
    <row r="7">
      <c r="A7" t="inlineStr">
        <is>
          <t>PCC</t>
        </is>
      </c>
      <c r="B7" t="inlineStr">
        <is>
          <t>3615924</t>
        </is>
      </c>
      <c r="C7" t="inlineStr">
        <is>
          <t>96</t>
        </is>
      </c>
      <c r="D7" t="inlineStr">
        <is>
          <t>validated</t>
        </is>
      </c>
      <c r="E7" t="b">
        <v>1</v>
      </c>
      <c r="F7">
        <f>IMAGE("https://chmeetings.blob.core.windows.net/846969/attachments/MZuX3sULm0uE6GUDiZyag/d82bddb5-8dc3-451c-a737-e765849edbe5.jpg")</f>
        <v/>
      </c>
      <c r="G7" t="inlineStr">
        <is>
          <t>Sylas</t>
        </is>
      </c>
      <c r="H7" t="inlineStr">
        <is>
          <t>Doan</t>
        </is>
      </c>
      <c r="I7" t="inlineStr">
        <is>
          <t>Male</t>
        </is>
      </c>
      <c r="J7" t="n">
        <v>18</v>
      </c>
      <c r="K7" t="inlineStr">
        <is>
          <t>(619) 897-0626</t>
        </is>
      </c>
      <c r="L7" t="inlineStr">
        <is>
          <t>sylaskdoan@gmail.com</t>
        </is>
      </c>
      <c r="M7" t="inlineStr">
        <is>
          <t>Track &amp; Field</t>
        </is>
      </c>
      <c r="N7" t="inlineStr">
        <is>
          <t>Mixed</t>
        </is>
      </c>
      <c r="O7" t="inlineStr">
        <is>
          <t>Team</t>
        </is>
      </c>
      <c r="P7" t="inlineStr"/>
      <c r="Q7" t="inlineStr"/>
    </row>
    <row r="8">
      <c r="A8" t="inlineStr">
        <is>
          <t>PCC</t>
        </is>
      </c>
      <c r="B8" t="inlineStr">
        <is>
          <t>3615927</t>
        </is>
      </c>
      <c r="C8" t="inlineStr">
        <is>
          <t>102</t>
        </is>
      </c>
      <c r="D8" t="inlineStr">
        <is>
          <t>validated</t>
        </is>
      </c>
      <c r="E8" t="b">
        <v>1</v>
      </c>
      <c r="F8">
        <f>IMAGE("https://chmeetings.blob.core.windows.net/846969/attachments/Zrta8DMWUakk9LacvoTg/f5ca0686-d499-4f36-aaf7-2daa1d8d7752.jpg")</f>
        <v/>
      </c>
      <c r="G8" t="inlineStr">
        <is>
          <t>Paul</t>
        </is>
      </c>
      <c r="H8" t="inlineStr">
        <is>
          <t>Huynh</t>
        </is>
      </c>
      <c r="I8" t="inlineStr">
        <is>
          <t>Male</t>
        </is>
      </c>
      <c r="J8" t="n">
        <v>18</v>
      </c>
      <c r="K8" t="inlineStr">
        <is>
          <t>(858) 933-7306</t>
        </is>
      </c>
      <c r="L8" t="inlineStr">
        <is>
          <t>Noodle_storm1@icloud.com</t>
        </is>
      </c>
      <c r="M8" t="inlineStr">
        <is>
          <t>Track &amp; Field</t>
        </is>
      </c>
      <c r="N8" t="inlineStr">
        <is>
          <t>Mixed</t>
        </is>
      </c>
      <c r="O8" t="inlineStr">
        <is>
          <t>Team</t>
        </is>
      </c>
      <c r="P8" t="inlineStr"/>
      <c r="Q8" t="inlineStr"/>
    </row>
    <row r="9">
      <c r="A9" t="inlineStr">
        <is>
          <t>PCC</t>
        </is>
      </c>
      <c r="B9" t="inlineStr">
        <is>
          <t>3610932</t>
        </is>
      </c>
      <c r="C9" t="inlineStr">
        <is>
          <t>99</t>
        </is>
      </c>
      <c r="D9" t="inlineStr">
        <is>
          <t>validated</t>
        </is>
      </c>
      <c r="E9" t="b">
        <v>0</v>
      </c>
      <c r="F9">
        <f>IMAGE("https://chmeetings.blob.core.windows.net/846969/attachments/jSqCYDu6wEGhHmvDctKIw/adebb1ad-5662-4028-b258-23ce1c422218.jpg")</f>
        <v/>
      </c>
      <c r="G9" t="inlineStr">
        <is>
          <t>Jerry</t>
        </is>
      </c>
      <c r="H9" t="inlineStr">
        <is>
          <t>Lai</t>
        </is>
      </c>
      <c r="I9" t="inlineStr">
        <is>
          <t>Male</t>
        </is>
      </c>
      <c r="J9" t="n">
        <v>28</v>
      </c>
      <c r="K9" t="inlineStr">
        <is>
          <t>(619) 402-7575</t>
        </is>
      </c>
      <c r="L9" t="inlineStr">
        <is>
          <t>jerry_lai1997@yahoo.com</t>
        </is>
      </c>
      <c r="M9" t="inlineStr">
        <is>
          <t>Track &amp; Field</t>
        </is>
      </c>
      <c r="N9" t="inlineStr">
        <is>
          <t>Mixed</t>
        </is>
      </c>
      <c r="O9" t="inlineStr">
        <is>
          <t>Team</t>
        </is>
      </c>
      <c r="P9" t="inlineStr"/>
      <c r="Q9" t="inlineStr"/>
    </row>
    <row r="10">
      <c r="A10" t="inlineStr">
        <is>
          <t>PCC</t>
        </is>
      </c>
      <c r="B10" t="inlineStr">
        <is>
          <t>3610930</t>
        </is>
      </c>
      <c r="C10" t="inlineStr">
        <is>
          <t>94</t>
        </is>
      </c>
      <c r="D10" t="inlineStr">
        <is>
          <t>pending</t>
        </is>
      </c>
      <c r="E10" t="b">
        <v>1</v>
      </c>
      <c r="F10">
        <f>IMAGE("https://chmeetings.blob.core.windows.net/846969/attachments/0334zPheP0iaYDfGUyBQ2A/484ab1fa-b9eb-4695-9798-897b62cb6b4f.jpg")</f>
        <v/>
      </c>
      <c r="G10" t="inlineStr">
        <is>
          <t>Daisey</t>
        </is>
      </c>
      <c r="H10" t="inlineStr">
        <is>
          <t>Phan</t>
        </is>
      </c>
      <c r="I10" t="inlineStr">
        <is>
          <t>Female</t>
        </is>
      </c>
      <c r="J10" t="n">
        <v>16</v>
      </c>
      <c r="K10" t="inlineStr">
        <is>
          <t>(619) 227-8965</t>
        </is>
      </c>
      <c r="L10" t="inlineStr">
        <is>
          <t>daiseyphan441@gmail.com</t>
        </is>
      </c>
      <c r="M10" t="inlineStr">
        <is>
          <t>Track &amp; Field</t>
        </is>
      </c>
      <c r="N10" t="inlineStr">
        <is>
          <t>Mixed</t>
        </is>
      </c>
      <c r="O10" t="inlineStr">
        <is>
          <t>Team</t>
        </is>
      </c>
      <c r="P10" t="inlineStr"/>
      <c r="Q10" t="inlineStr"/>
    </row>
    <row r="11">
      <c r="A11" t="inlineStr">
        <is>
          <t>PCC</t>
        </is>
      </c>
      <c r="B11" t="inlineStr">
        <is>
          <t>3615928</t>
        </is>
      </c>
      <c r="C11" t="inlineStr">
        <is>
          <t>98</t>
        </is>
      </c>
      <c r="D11" t="inlineStr">
        <is>
          <t>pending</t>
        </is>
      </c>
      <c r="E11" t="b">
        <v>1</v>
      </c>
      <c r="F11">
        <f>IMAGE("https://chmeetings.blob.core.windows.net/846969/attachments/yr8GQWRkaMhXEt644AUA/cc58517d-7f6e-43e7-b6eb-9441856782fb.jpg")</f>
        <v/>
      </c>
      <c r="G11" t="inlineStr">
        <is>
          <t>Aimy</t>
        </is>
      </c>
      <c r="H11" t="inlineStr">
        <is>
          <t>Thach</t>
        </is>
      </c>
      <c r="I11" t="inlineStr">
        <is>
          <t>Female</t>
        </is>
      </c>
      <c r="J11" t="n">
        <v>0</v>
      </c>
      <c r="K11" t="inlineStr">
        <is>
          <t>(619) 832-2469</t>
        </is>
      </c>
      <c r="L11" t="inlineStr">
        <is>
          <t>aimythach2008@gmail.com</t>
        </is>
      </c>
      <c r="M11" t="inlineStr">
        <is>
          <t>Track &amp; Field</t>
        </is>
      </c>
      <c r="N11" t="inlineStr">
        <is>
          <t>Mixed</t>
        </is>
      </c>
      <c r="O11" t="inlineStr">
        <is>
          <t>Team</t>
        </is>
      </c>
      <c r="P11" t="inlineStr"/>
      <c r="Q11" t="inlineStr"/>
    </row>
    <row r="12">
      <c r="A12" t="inlineStr">
        <is>
          <t>PCC</t>
        </is>
      </c>
      <c r="B12" t="inlineStr">
        <is>
          <t>3615924</t>
        </is>
      </c>
      <c r="C12" t="inlineStr">
        <is>
          <t>96</t>
        </is>
      </c>
      <c r="D12" t="inlineStr">
        <is>
          <t>validated</t>
        </is>
      </c>
      <c r="E12" t="b">
        <v>1</v>
      </c>
      <c r="F12">
        <f>IMAGE("https://chmeetings.blob.core.windows.net/846969/attachments/MZuX3sULm0uE6GUDiZyag/d82bddb5-8dc3-451c-a737-e765849edbe5.jpg")</f>
        <v/>
      </c>
      <c r="G12" t="inlineStr">
        <is>
          <t>Sylas</t>
        </is>
      </c>
      <c r="H12" t="inlineStr">
        <is>
          <t>Doan</t>
        </is>
      </c>
      <c r="I12" t="inlineStr">
        <is>
          <t>Male</t>
        </is>
      </c>
      <c r="J12" t="n">
        <v>18</v>
      </c>
      <c r="K12" t="inlineStr">
        <is>
          <t>(619) 897-0626</t>
        </is>
      </c>
      <c r="L12" t="inlineStr">
        <is>
          <t>sylaskdoan@gmail.com</t>
        </is>
      </c>
      <c r="M12" t="inlineStr">
        <is>
          <t>Tug-of-war</t>
        </is>
      </c>
      <c r="N12" t="inlineStr">
        <is>
          <t>Mixed</t>
        </is>
      </c>
      <c r="O12" t="inlineStr">
        <is>
          <t>Team</t>
        </is>
      </c>
      <c r="P12" t="inlineStr"/>
      <c r="Q12" t="inlineStr"/>
    </row>
    <row r="13">
      <c r="A13" t="inlineStr">
        <is>
          <t>PCC</t>
        </is>
      </c>
      <c r="B13" t="inlineStr">
        <is>
          <t>3615927</t>
        </is>
      </c>
      <c r="C13" t="inlineStr">
        <is>
          <t>102</t>
        </is>
      </c>
      <c r="D13" t="inlineStr">
        <is>
          <t>validated</t>
        </is>
      </c>
      <c r="E13" t="b">
        <v>1</v>
      </c>
      <c r="F13">
        <f>IMAGE("https://chmeetings.blob.core.windows.net/846969/attachments/Zrta8DMWUakk9LacvoTg/f5ca0686-d499-4f36-aaf7-2daa1d8d7752.jpg")</f>
        <v/>
      </c>
      <c r="G13" t="inlineStr">
        <is>
          <t>Paul</t>
        </is>
      </c>
      <c r="H13" t="inlineStr">
        <is>
          <t>Huynh</t>
        </is>
      </c>
      <c r="I13" t="inlineStr">
        <is>
          <t>Male</t>
        </is>
      </c>
      <c r="J13" t="n">
        <v>18</v>
      </c>
      <c r="K13" t="inlineStr">
        <is>
          <t>(858) 933-7306</t>
        </is>
      </c>
      <c r="L13" t="inlineStr">
        <is>
          <t>Noodle_storm1@icloud.com</t>
        </is>
      </c>
      <c r="M13" t="inlineStr">
        <is>
          <t>Tug-of-war</t>
        </is>
      </c>
      <c r="N13" t="inlineStr">
        <is>
          <t>Mixed</t>
        </is>
      </c>
      <c r="O13" t="inlineStr">
        <is>
          <t>Team</t>
        </is>
      </c>
      <c r="P13" t="inlineStr"/>
      <c r="Q13" t="inlineStr"/>
    </row>
    <row r="14">
      <c r="A14" t="inlineStr">
        <is>
          <t>PCC</t>
        </is>
      </c>
      <c r="B14" t="inlineStr">
        <is>
          <t>3615924</t>
        </is>
      </c>
      <c r="C14" t="inlineStr">
        <is>
          <t>96</t>
        </is>
      </c>
      <c r="D14" t="inlineStr">
        <is>
          <t>validated</t>
        </is>
      </c>
      <c r="E14" t="b">
        <v>1</v>
      </c>
      <c r="F14">
        <f>IMAGE("https://chmeetings.blob.core.windows.net/846969/attachments/MZuX3sULm0uE6GUDiZyag/d82bddb5-8dc3-451c-a737-e765849edbe5.jpg")</f>
        <v/>
      </c>
      <c r="G14" t="inlineStr">
        <is>
          <t>Sylas</t>
        </is>
      </c>
      <c r="H14" t="inlineStr">
        <is>
          <t>Doan</t>
        </is>
      </c>
      <c r="I14" t="inlineStr">
        <is>
          <t>Male</t>
        </is>
      </c>
      <c r="J14" t="n">
        <v>18</v>
      </c>
      <c r="K14" t="inlineStr">
        <is>
          <t>(619) 897-0626</t>
        </is>
      </c>
      <c r="L14" t="inlineStr">
        <is>
          <t>sylaskdoan@gmail.com</t>
        </is>
      </c>
      <c r="M14" t="inlineStr">
        <is>
          <t>Volleyball</t>
        </is>
      </c>
      <c r="N14" t="inlineStr">
        <is>
          <t>Men</t>
        </is>
      </c>
      <c r="O14" t="inlineStr">
        <is>
          <t>Team</t>
        </is>
      </c>
      <c r="P14" t="inlineStr"/>
      <c r="Q14" t="inlineStr">
        <is>
          <t>Timothy dao</t>
        </is>
      </c>
    </row>
    <row r="15">
      <c r="A15" t="inlineStr">
        <is>
          <t>PCC</t>
        </is>
      </c>
      <c r="B15" t="inlineStr">
        <is>
          <t>3610932</t>
        </is>
      </c>
      <c r="C15" t="inlineStr">
        <is>
          <t>99</t>
        </is>
      </c>
      <c r="D15" t="inlineStr">
        <is>
          <t>validated</t>
        </is>
      </c>
      <c r="E15" t="b">
        <v>0</v>
      </c>
      <c r="F15">
        <f>IMAGE("https://chmeetings.blob.core.windows.net/846969/attachments/jSqCYDu6wEGhHmvDctKIw/adebb1ad-5662-4028-b258-23ce1c422218.jpg")</f>
        <v/>
      </c>
      <c r="G15" t="inlineStr">
        <is>
          <t>Jerry</t>
        </is>
      </c>
      <c r="H15" t="inlineStr">
        <is>
          <t>Lai</t>
        </is>
      </c>
      <c r="I15" t="inlineStr">
        <is>
          <t>Male</t>
        </is>
      </c>
      <c r="J15" t="n">
        <v>28</v>
      </c>
      <c r="K15" t="inlineStr">
        <is>
          <t>(619) 402-7575</t>
        </is>
      </c>
      <c r="L15" t="inlineStr">
        <is>
          <t>jerry_lai1997@yahoo.com</t>
        </is>
      </c>
      <c r="M15" t="inlineStr">
        <is>
          <t>Volleyball</t>
        </is>
      </c>
      <c r="N15" t="inlineStr">
        <is>
          <t>Men</t>
        </is>
      </c>
      <c r="O15" t="inlineStr">
        <is>
          <t>Team</t>
        </is>
      </c>
      <c r="P15" t="inlineStr"/>
      <c r="Q15" t="inlineStr"/>
    </row>
    <row r="16">
      <c r="A16" t="inlineStr">
        <is>
          <t>PCC</t>
        </is>
      </c>
      <c r="B16" t="inlineStr">
        <is>
          <t>3610933</t>
        </is>
      </c>
      <c r="C16" t="inlineStr">
        <is>
          <t>101</t>
        </is>
      </c>
      <c r="D16" t="inlineStr">
        <is>
          <t>validated</t>
        </is>
      </c>
      <c r="E16" t="b">
        <v>1</v>
      </c>
      <c r="F16">
        <f>IMAGE("https://chmeetings.blob.core.windows.net/846969/attachments/rsy8NHglukeGParGAUGW1g/b5dcbd2f-ae7f-4d6e-b042-75f29e50fee8.jpg")</f>
        <v/>
      </c>
      <c r="G16" t="inlineStr">
        <is>
          <t>khang</t>
        </is>
      </c>
      <c r="H16" t="inlineStr">
        <is>
          <t>huynh</t>
        </is>
      </c>
      <c r="I16" t="inlineStr">
        <is>
          <t>Male</t>
        </is>
      </c>
      <c r="J16" t="n">
        <v>20</v>
      </c>
      <c r="K16" t="inlineStr">
        <is>
          <t>(858) 305-9787</t>
        </is>
      </c>
      <c r="L16" t="inlineStr">
        <is>
          <t>khanghuynh1324@icloud.com</t>
        </is>
      </c>
      <c r="M16" t="inlineStr">
        <is>
          <t>Volleyball</t>
        </is>
      </c>
      <c r="N16" t="inlineStr">
        <is>
          <t>Men</t>
        </is>
      </c>
      <c r="O16" t="inlineStr">
        <is>
          <t>Team</t>
        </is>
      </c>
      <c r="P16" t="inlineStr"/>
      <c r="Q16" t="inlineStr"/>
    </row>
    <row r="17">
      <c r="A17" t="inlineStr">
        <is>
          <t>PCC</t>
        </is>
      </c>
      <c r="B17" t="inlineStr">
        <is>
          <t>3610934</t>
        </is>
      </c>
      <c r="C17" t="inlineStr">
        <is>
          <t>100</t>
        </is>
      </c>
      <c r="D17" t="inlineStr">
        <is>
          <t>validated</t>
        </is>
      </c>
      <c r="E17" t="b">
        <v>1</v>
      </c>
      <c r="F17">
        <f>IMAGE("https://chmeetings.blob.core.windows.net/846969/attachments/UlcCVYaeNEOKklkE1etEw/8f0e0555-8491-4b7e-a7d5-4ea2e10c6a0c.jpg")</f>
        <v/>
      </c>
      <c r="G17" t="inlineStr">
        <is>
          <t>terry</t>
        </is>
      </c>
      <c r="H17" t="inlineStr">
        <is>
          <t>lai</t>
        </is>
      </c>
      <c r="I17" t="inlineStr">
        <is>
          <t>Male</t>
        </is>
      </c>
      <c r="J17" t="n">
        <v>25</v>
      </c>
      <c r="K17" t="inlineStr">
        <is>
          <t>(619) 219-1666</t>
        </is>
      </c>
      <c r="L17" t="inlineStr">
        <is>
          <t>laiterry123@gmail.com</t>
        </is>
      </c>
      <c r="M17" t="inlineStr">
        <is>
          <t>Volleyball</t>
        </is>
      </c>
      <c r="N17" t="inlineStr">
        <is>
          <t>Men</t>
        </is>
      </c>
      <c r="O17" t="inlineStr">
        <is>
          <t>Team</t>
        </is>
      </c>
      <c r="P17" t="inlineStr"/>
      <c r="Q17" t="inlineStr"/>
    </row>
    <row r="18">
      <c r="A18" t="inlineStr">
        <is>
          <t>PCC</t>
        </is>
      </c>
      <c r="B18" t="inlineStr">
        <is>
          <t>3610930</t>
        </is>
      </c>
      <c r="C18" t="inlineStr">
        <is>
          <t>94</t>
        </is>
      </c>
      <c r="D18" t="inlineStr">
        <is>
          <t>pending</t>
        </is>
      </c>
      <c r="E18" t="b">
        <v>1</v>
      </c>
      <c r="F18">
        <f>IMAGE("https://chmeetings.blob.core.windows.net/846969/attachments/0334zPheP0iaYDfGUyBQ2A/484ab1fa-b9eb-4695-9798-897b62cb6b4f.jpg")</f>
        <v/>
      </c>
      <c r="G18" t="inlineStr">
        <is>
          <t>Daisey</t>
        </is>
      </c>
      <c r="H18" t="inlineStr">
        <is>
          <t>Phan</t>
        </is>
      </c>
      <c r="I18" t="inlineStr">
        <is>
          <t>Female</t>
        </is>
      </c>
      <c r="J18" t="n">
        <v>16</v>
      </c>
      <c r="K18" t="inlineStr">
        <is>
          <t>(619) 227-8965</t>
        </is>
      </c>
      <c r="L18" t="inlineStr">
        <is>
          <t>daiseyphan441@gmail.com</t>
        </is>
      </c>
      <c r="M18" t="inlineStr">
        <is>
          <t>Volleyball</t>
        </is>
      </c>
      <c r="N18" t="inlineStr">
        <is>
          <t>Women</t>
        </is>
      </c>
      <c r="O18" t="inlineStr">
        <is>
          <t>Team</t>
        </is>
      </c>
      <c r="P18" t="inlineStr"/>
      <c r="Q18" t="inlineStr"/>
    </row>
    <row r="19">
      <c r="A19" t="inlineStr">
        <is>
          <t>PCC</t>
        </is>
      </c>
      <c r="B19" t="inlineStr">
        <is>
          <t>3615928</t>
        </is>
      </c>
      <c r="C19" t="inlineStr">
        <is>
          <t>98</t>
        </is>
      </c>
      <c r="D19" t="inlineStr">
        <is>
          <t>pending</t>
        </is>
      </c>
      <c r="E19" t="b">
        <v>1</v>
      </c>
      <c r="F19">
        <f>IMAGE("https://chmeetings.blob.core.windows.net/846969/attachments/yr8GQWRkaMhXEt644AUA/cc58517d-7f6e-43e7-b6eb-9441856782fb.jpg")</f>
        <v/>
      </c>
      <c r="G19" t="inlineStr">
        <is>
          <t>Aimy</t>
        </is>
      </c>
      <c r="H19" t="inlineStr">
        <is>
          <t>Thach</t>
        </is>
      </c>
      <c r="I19" t="inlineStr">
        <is>
          <t>Female</t>
        </is>
      </c>
      <c r="J19" t="n">
        <v>0</v>
      </c>
      <c r="K19" t="inlineStr">
        <is>
          <t>(619) 832-2469</t>
        </is>
      </c>
      <c r="L19" t="inlineStr">
        <is>
          <t>aimythach2008@gmail.com</t>
        </is>
      </c>
      <c r="M19" t="inlineStr">
        <is>
          <t>Volleyball</t>
        </is>
      </c>
      <c r="N19" t="inlineStr">
        <is>
          <t>Women</t>
        </is>
      </c>
      <c r="O19" t="inlineStr">
        <is>
          <t>Team</t>
        </is>
      </c>
      <c r="P19" t="inlineStr"/>
      <c r="Q19" t="inlineStr"/>
    </row>
    <row r="20">
      <c r="A20" t="inlineStr">
        <is>
          <t>PCC</t>
        </is>
      </c>
      <c r="B20" t="inlineStr">
        <is>
          <t>3615923</t>
        </is>
      </c>
      <c r="C20" t="inlineStr">
        <is>
          <t>95</t>
        </is>
      </c>
      <c r="D20" t="inlineStr">
        <is>
          <t>pending</t>
        </is>
      </c>
      <c r="E20" t="b">
        <v>1</v>
      </c>
      <c r="F20">
        <f>IMAGE("https://chmeetings.blob.core.windows.net/846969/attachments/IoPT5OC820MZ0J9W3iYjg/3b910098-b32e-4041-af82-6d4931dcb398.jpg")</f>
        <v/>
      </c>
      <c r="G20" t="inlineStr">
        <is>
          <t>Cammy</t>
        </is>
      </c>
      <c r="H20" t="inlineStr">
        <is>
          <t>Thach</t>
        </is>
      </c>
      <c r="I20" t="inlineStr">
        <is>
          <t>Female</t>
        </is>
      </c>
      <c r="J20" t="n">
        <v>16</v>
      </c>
      <c r="K20" t="inlineStr">
        <is>
          <t>(619) 512-2261</t>
        </is>
      </c>
      <c r="L20" t="inlineStr">
        <is>
          <t>cammythach2009@gmail.com</t>
        </is>
      </c>
      <c r="M20" t="inlineStr">
        <is>
          <t>Volleyball</t>
        </is>
      </c>
      <c r="N20" t="inlineStr">
        <is>
          <t>Women</t>
        </is>
      </c>
      <c r="O20" t="inlineStr">
        <is>
          <t>Team</t>
        </is>
      </c>
      <c r="P20" t="inlineStr"/>
      <c r="Q20" t="inlineStr"/>
    </row>
    <row r="21">
      <c r="A21" t="inlineStr">
        <is>
          <t>PCC</t>
        </is>
      </c>
      <c r="B21" t="inlineStr">
        <is>
          <t>3615939</t>
        </is>
      </c>
      <c r="C21" t="inlineStr">
        <is>
          <t>103</t>
        </is>
      </c>
      <c r="D21" t="inlineStr">
        <is>
          <t>pending</t>
        </is>
      </c>
      <c r="E21" t="b">
        <v>1</v>
      </c>
      <c r="F21">
        <f>IMAGE("https://chmeetings.blob.core.windows.net/846969/attachments/mM0gFFZvK0y4fHMGqX3qIA/e2efb60e-cb30-4d10-8462-78bce218d675.jpg")</f>
        <v/>
      </c>
      <c r="G21" t="inlineStr">
        <is>
          <t>Victoria</t>
        </is>
      </c>
      <c r="H21" t="inlineStr">
        <is>
          <t>Vuong</t>
        </is>
      </c>
      <c r="I21" t="inlineStr">
        <is>
          <t>Female</t>
        </is>
      </c>
      <c r="J21" t="n">
        <v>15</v>
      </c>
      <c r="K21" t="inlineStr">
        <is>
          <t>(858) 780-6524</t>
        </is>
      </c>
      <c r="L21" t="inlineStr">
        <is>
          <t>victoria.vuongg11@gmail.com</t>
        </is>
      </c>
      <c r="M21" t="inlineStr">
        <is>
          <t>Volleyball</t>
        </is>
      </c>
      <c r="N21" t="inlineStr">
        <is>
          <t>Women</t>
        </is>
      </c>
      <c r="O21" t="inlineStr">
        <is>
          <t>Team</t>
        </is>
      </c>
      <c r="P21" t="inlineStr"/>
      <c r="Q21" t="inlineStr"/>
    </row>
  </sheetData>
  <autoFilter ref="A1:Q2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9" customWidth="1" min="7" max="7"/>
    <col width="5" customWidth="1" min="8" max="8"/>
    <col width="9" customWidth="1" min="9" max="9"/>
    <col width="9" customWidth="1" min="10" max="10"/>
    <col width="15.5" customWidth="1" min="11" max="11"/>
    <col width="9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PCC</t>
        </is>
      </c>
      <c r="B2" t="inlineStr">
        <is>
          <t>3615926</t>
        </is>
      </c>
      <c r="C2" t="inlineStr">
        <is>
          <t>97</t>
        </is>
      </c>
      <c r="D2" t="inlineStr">
        <is>
          <t>validated</t>
        </is>
      </c>
      <c r="E2" t="b">
        <v>1</v>
      </c>
      <c r="F2">
        <f>IMAGE("https://chmeetings.blob.core.windows.net/846969/attachments/JQzE4BjkGi1nJQdHKtA/dda63993-8871-4240-91ab-97d72c1f74f0.jpg")</f>
        <v/>
      </c>
      <c r="G2" t="inlineStr">
        <is>
          <t>Huynh Paula</t>
        </is>
      </c>
      <c r="H2" t="inlineStr">
        <is>
          <t>Female</t>
        </is>
      </c>
      <c r="I2" t="n">
        <v>18</v>
      </c>
      <c r="J2" t="inlineStr">
        <is>
          <t>(858) 269-9236</t>
        </is>
      </c>
      <c r="K2" t="inlineStr">
        <is>
          <t>paula.huynh08@gmail.com</t>
        </is>
      </c>
      <c r="L2" t="inlineStr">
        <is>
          <t>Bible Challenge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PCC</t>
        </is>
      </c>
      <c r="B3" t="inlineStr">
        <is>
          <t>3615939</t>
        </is>
      </c>
      <c r="C3" t="inlineStr">
        <is>
          <t>103</t>
        </is>
      </c>
      <c r="D3" t="inlineStr">
        <is>
          <t>pending</t>
        </is>
      </c>
      <c r="E3" t="b">
        <v>1</v>
      </c>
      <c r="F3">
        <f>IMAGE("https://chmeetings.blob.core.windows.net/846969/attachments/mM0gFFZvK0y4fHMGqX3qIA/e2efb60e-cb30-4d10-8462-78bce218d675.jpg")</f>
        <v/>
      </c>
      <c r="G3" t="inlineStr">
        <is>
          <t>Vuong Victoria</t>
        </is>
      </c>
      <c r="H3" t="inlineStr">
        <is>
          <t>Female</t>
        </is>
      </c>
      <c r="I3" t="n">
        <v>15</v>
      </c>
      <c r="J3" t="inlineStr">
        <is>
          <t>(858) 780-6524</t>
        </is>
      </c>
      <c r="K3" t="inlineStr">
        <is>
          <t>victoria.vuongg11@gmail.com</t>
        </is>
      </c>
      <c r="L3" t="inlineStr">
        <is>
          <t>Bible Challenge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PCC</t>
        </is>
      </c>
      <c r="B2" t="inlineStr">
        <is>
          <t>3615924</t>
        </is>
      </c>
      <c r="C2" t="inlineStr">
        <is>
          <t>96</t>
        </is>
      </c>
      <c r="D2" t="inlineStr">
        <is>
          <t>validated</t>
        </is>
      </c>
      <c r="E2" t="b">
        <v>1</v>
      </c>
      <c r="F2">
        <f>IMAGE("https://chmeetings.blob.core.windows.net/846969/attachments/MZuX3sULm0uE6GUDiZyag/d82bddb5-8dc3-451c-a737-e765849edbe5.jpg")</f>
        <v/>
      </c>
      <c r="G2" t="inlineStr">
        <is>
          <t>Doan Sylas</t>
        </is>
      </c>
      <c r="H2" t="inlineStr">
        <is>
          <t>Male</t>
        </is>
      </c>
      <c r="I2" t="n">
        <v>18</v>
      </c>
      <c r="J2" t="inlineStr">
        <is>
          <t>(619) 897-0626</t>
        </is>
      </c>
      <c r="K2" t="inlineStr">
        <is>
          <t>sylaskdoan@gmail.com</t>
        </is>
      </c>
      <c r="L2" t="inlineStr">
        <is>
          <t>Pickleball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4" customWidth="1" min="8" max="8"/>
    <col width="9" customWidth="1" min="9" max="9"/>
    <col width="9" customWidth="1" min="10" max="10"/>
    <col width="14.5" customWidth="1" min="11" max="11"/>
    <col width="14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PCC</t>
        </is>
      </c>
      <c r="B2" t="inlineStr">
        <is>
          <t>3615924</t>
        </is>
      </c>
      <c r="C2" t="inlineStr">
        <is>
          <t>96</t>
        </is>
      </c>
      <c r="D2" t="inlineStr">
        <is>
          <t>validated</t>
        </is>
      </c>
      <c r="E2" t="b">
        <v>1</v>
      </c>
      <c r="F2">
        <f>IMAGE("https://chmeetings.blob.core.windows.net/846969/attachments/MZuX3sULm0uE6GUDiZyag/d82bddb5-8dc3-451c-a737-e765849edbe5.jpg")</f>
        <v/>
      </c>
      <c r="G2" t="inlineStr">
        <is>
          <t>Doan Sylas</t>
        </is>
      </c>
      <c r="H2" t="inlineStr">
        <is>
          <t>Male</t>
        </is>
      </c>
      <c r="I2" t="n">
        <v>18</v>
      </c>
      <c r="J2" t="inlineStr">
        <is>
          <t>(619) 897-0626</t>
        </is>
      </c>
      <c r="K2" t="inlineStr">
        <is>
          <t>sylaskdoan@gmail.com</t>
        </is>
      </c>
      <c r="L2" t="inlineStr">
        <is>
          <t>Soccer - Coed Exhibition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PCC</t>
        </is>
      </c>
      <c r="B3" t="inlineStr">
        <is>
          <t>3610933</t>
        </is>
      </c>
      <c r="C3" t="inlineStr">
        <is>
          <t>101</t>
        </is>
      </c>
      <c r="D3" t="inlineStr">
        <is>
          <t>validated</t>
        </is>
      </c>
      <c r="E3" t="b">
        <v>1</v>
      </c>
      <c r="F3">
        <f>IMAGE("https://chmeetings.blob.core.windows.net/846969/attachments/rsy8NHglukeGParGAUGW1g/b5dcbd2f-ae7f-4d6e-b042-75f29e50fee8.jpg")</f>
        <v/>
      </c>
      <c r="G3" t="inlineStr">
        <is>
          <t>huynh khang</t>
        </is>
      </c>
      <c r="H3" t="inlineStr">
        <is>
          <t>Male</t>
        </is>
      </c>
      <c r="I3" t="n">
        <v>20</v>
      </c>
      <c r="J3" t="inlineStr">
        <is>
          <t>(858) 305-9787</t>
        </is>
      </c>
      <c r="K3" t="inlineStr">
        <is>
          <t>khanghuynh1324@icloud.com</t>
        </is>
      </c>
      <c r="L3" t="inlineStr">
        <is>
          <t>Soccer - Coed Exhibition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5" customWidth="1" min="8" max="8"/>
    <col width="9" customWidth="1" min="9" max="9"/>
    <col width="9" customWidth="1" min="10" max="10"/>
    <col width="13.5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PCC</t>
        </is>
      </c>
      <c r="B2" t="inlineStr">
        <is>
          <t>3615924</t>
        </is>
      </c>
      <c r="C2" t="inlineStr">
        <is>
          <t>96</t>
        </is>
      </c>
      <c r="D2" t="inlineStr">
        <is>
          <t>validated</t>
        </is>
      </c>
      <c r="E2" t="b">
        <v>1</v>
      </c>
      <c r="F2">
        <f>IMAGE("https://chmeetings.blob.core.windows.net/846969/attachments/MZuX3sULm0uE6GUDiZyag/d82bddb5-8dc3-451c-a737-e765849edbe5.jpg")</f>
        <v/>
      </c>
      <c r="G2" t="inlineStr">
        <is>
          <t>Doan Sylas</t>
        </is>
      </c>
      <c r="H2" t="inlineStr">
        <is>
          <t>Male</t>
        </is>
      </c>
      <c r="I2" t="n">
        <v>18</v>
      </c>
      <c r="J2" t="inlineStr">
        <is>
          <t>(619) 897-0626</t>
        </is>
      </c>
      <c r="K2" t="inlineStr">
        <is>
          <t>sylaskdoan@gmail.com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PCC</t>
        </is>
      </c>
      <c r="B3" t="inlineStr">
        <is>
          <t>3615927</t>
        </is>
      </c>
      <c r="C3" t="inlineStr">
        <is>
          <t>102</t>
        </is>
      </c>
      <c r="D3" t="inlineStr">
        <is>
          <t>validated</t>
        </is>
      </c>
      <c r="E3" t="b">
        <v>1</v>
      </c>
      <c r="F3">
        <f>IMAGE("https://chmeetings.blob.core.windows.net/846969/attachments/Zrta8DMWUakk9LacvoTg/f5ca0686-d499-4f36-aaf7-2daa1d8d7752.jpg")</f>
        <v/>
      </c>
      <c r="G3" t="inlineStr">
        <is>
          <t>Huynh Paul</t>
        </is>
      </c>
      <c r="H3" t="inlineStr">
        <is>
          <t>Male</t>
        </is>
      </c>
      <c r="I3" t="n">
        <v>18</v>
      </c>
      <c r="J3" t="inlineStr">
        <is>
          <t>(858) 933-7306</t>
        </is>
      </c>
      <c r="K3" t="inlineStr">
        <is>
          <t>Noodle_storm1@icloud.com</t>
        </is>
      </c>
      <c r="L3" t="inlineStr">
        <is>
          <t>Track &amp; Field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PCC</t>
        </is>
      </c>
      <c r="B4" t="inlineStr">
        <is>
          <t>3610932</t>
        </is>
      </c>
      <c r="C4" t="inlineStr">
        <is>
          <t>99</t>
        </is>
      </c>
      <c r="D4" t="inlineStr">
        <is>
          <t>validated</t>
        </is>
      </c>
      <c r="E4" t="b">
        <v>0</v>
      </c>
      <c r="F4">
        <f>IMAGE("https://chmeetings.blob.core.windows.net/846969/attachments/jSqCYDu6wEGhHmvDctKIw/adebb1ad-5662-4028-b258-23ce1c422218.jpg")</f>
        <v/>
      </c>
      <c r="G4" t="inlineStr">
        <is>
          <t>Lai Jerry</t>
        </is>
      </c>
      <c r="H4" t="inlineStr">
        <is>
          <t>Male</t>
        </is>
      </c>
      <c r="I4" t="n">
        <v>28</v>
      </c>
      <c r="J4" t="inlineStr">
        <is>
          <t>(619) 402-7575</t>
        </is>
      </c>
      <c r="K4" t="inlineStr">
        <is>
          <t>jerry_lai1997@yahoo.com</t>
        </is>
      </c>
      <c r="L4" t="inlineStr">
        <is>
          <t>Track &amp; Field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PCC</t>
        </is>
      </c>
      <c r="B5" t="inlineStr">
        <is>
          <t>3610930</t>
        </is>
      </c>
      <c r="C5" t="inlineStr">
        <is>
          <t>94</t>
        </is>
      </c>
      <c r="D5" t="inlineStr">
        <is>
          <t>pending</t>
        </is>
      </c>
      <c r="E5" t="b">
        <v>1</v>
      </c>
      <c r="F5">
        <f>IMAGE("https://chmeetings.blob.core.windows.net/846969/attachments/0334zPheP0iaYDfGUyBQ2A/484ab1fa-b9eb-4695-9798-897b62cb6b4f.jpg")</f>
        <v/>
      </c>
      <c r="G5" t="inlineStr">
        <is>
          <t>Phan Daisey</t>
        </is>
      </c>
      <c r="H5" t="inlineStr">
        <is>
          <t>Female</t>
        </is>
      </c>
      <c r="I5" t="n">
        <v>16</v>
      </c>
      <c r="J5" t="inlineStr">
        <is>
          <t>(619) 227-8965</t>
        </is>
      </c>
      <c r="K5" t="inlineStr">
        <is>
          <t>daiseyphan441@gmail.com</t>
        </is>
      </c>
      <c r="L5" t="inlineStr">
        <is>
          <t>Track &amp; Field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PCC</t>
        </is>
      </c>
      <c r="B6" t="inlineStr">
        <is>
          <t>3615928</t>
        </is>
      </c>
      <c r="C6" t="inlineStr">
        <is>
          <t>98</t>
        </is>
      </c>
      <c r="D6" t="inlineStr">
        <is>
          <t>pending</t>
        </is>
      </c>
      <c r="E6" t="b">
        <v>1</v>
      </c>
      <c r="F6">
        <f>IMAGE("https://chmeetings.blob.core.windows.net/846969/attachments/yr8GQWRkaMhXEt644AUA/cc58517d-7f6e-43e7-b6eb-9441856782fb.jpg")</f>
        <v/>
      </c>
      <c r="G6" t="inlineStr">
        <is>
          <t>Thach Aimy</t>
        </is>
      </c>
      <c r="H6" t="inlineStr">
        <is>
          <t>Female</t>
        </is>
      </c>
      <c r="I6" t="n">
        <v>0</v>
      </c>
      <c r="J6" t="inlineStr">
        <is>
          <t>(619) 832-2469</t>
        </is>
      </c>
      <c r="K6" t="inlineStr">
        <is>
          <t>aimythach2008@gmail.com</t>
        </is>
      </c>
      <c r="L6" t="inlineStr">
        <is>
          <t>Track &amp; Field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</sheetData>
  <autoFilter ref="A1:P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4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PCC</t>
        </is>
      </c>
      <c r="B2" t="inlineStr">
        <is>
          <t>3615924</t>
        </is>
      </c>
      <c r="C2" t="inlineStr">
        <is>
          <t>96</t>
        </is>
      </c>
      <c r="D2" t="inlineStr">
        <is>
          <t>validated</t>
        </is>
      </c>
      <c r="E2" t="b">
        <v>1</v>
      </c>
      <c r="F2">
        <f>IMAGE("https://chmeetings.blob.core.windows.net/846969/attachments/MZuX3sULm0uE6GUDiZyag/d82bddb5-8dc3-451c-a737-e765849edbe5.jpg")</f>
        <v/>
      </c>
      <c r="G2" t="inlineStr">
        <is>
          <t>Doan Sylas</t>
        </is>
      </c>
      <c r="H2" t="inlineStr">
        <is>
          <t>Male</t>
        </is>
      </c>
      <c r="I2" t="n">
        <v>18</v>
      </c>
      <c r="J2" t="inlineStr">
        <is>
          <t>(619) 897-0626</t>
        </is>
      </c>
      <c r="K2" t="inlineStr">
        <is>
          <t>sylaskdoan@gmail.com</t>
        </is>
      </c>
      <c r="L2" t="inlineStr">
        <is>
          <t>Tug-of-war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PCC</t>
        </is>
      </c>
      <c r="B3" t="inlineStr">
        <is>
          <t>3615927</t>
        </is>
      </c>
      <c r="C3" t="inlineStr">
        <is>
          <t>102</t>
        </is>
      </c>
      <c r="D3" t="inlineStr">
        <is>
          <t>validated</t>
        </is>
      </c>
      <c r="E3" t="b">
        <v>1</v>
      </c>
      <c r="F3">
        <f>IMAGE("https://chmeetings.blob.core.windows.net/846969/attachments/Zrta8DMWUakk9LacvoTg/f5ca0686-d499-4f36-aaf7-2daa1d8d7752.jpg")</f>
        <v/>
      </c>
      <c r="G3" t="inlineStr">
        <is>
          <t>Huynh Paul</t>
        </is>
      </c>
      <c r="H3" t="inlineStr">
        <is>
          <t>Male</t>
        </is>
      </c>
      <c r="I3" t="n">
        <v>18</v>
      </c>
      <c r="J3" t="inlineStr">
        <is>
          <t>(858) 933-7306</t>
        </is>
      </c>
      <c r="K3" t="inlineStr">
        <is>
          <t>Noodle_storm1@icloud.com</t>
        </is>
      </c>
      <c r="L3" t="inlineStr">
        <is>
          <t>Tug-of-war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.5" customWidth="1" min="7" max="7"/>
    <col width="4" customWidth="1" min="8" max="8"/>
    <col width="9" customWidth="1" min="9" max="9"/>
    <col width="9" customWidth="1" min="10" max="10"/>
    <col width="12.5" customWidth="1" min="11" max="11"/>
    <col width="7" customWidth="1" min="12" max="12"/>
    <col width="8" customWidth="1" min="13" max="13"/>
    <col width="8" customWidth="1" min="14" max="14"/>
    <col width="7" customWidth="1" min="15" max="15"/>
    <col width="7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PCC</t>
        </is>
      </c>
      <c r="B2" t="inlineStr">
        <is>
          <t>3615924</t>
        </is>
      </c>
      <c r="C2" t="inlineStr">
        <is>
          <t>96</t>
        </is>
      </c>
      <c r="D2" t="inlineStr">
        <is>
          <t>validated</t>
        </is>
      </c>
      <c r="E2" t="b">
        <v>1</v>
      </c>
      <c r="F2">
        <f>IMAGE("https://chmeetings.blob.core.windows.net/846969/attachments/MZuX3sULm0uE6GUDiZyag/d82bddb5-8dc3-451c-a737-e765849edbe5.jpg")</f>
        <v/>
      </c>
      <c r="G2" t="inlineStr">
        <is>
          <t>Doan Sylas</t>
        </is>
      </c>
      <c r="H2" t="inlineStr">
        <is>
          <t>Male</t>
        </is>
      </c>
      <c r="I2" t="n">
        <v>18</v>
      </c>
      <c r="J2" t="inlineStr">
        <is>
          <t>(619) 897-0626</t>
        </is>
      </c>
      <c r="K2" t="inlineStr">
        <is>
          <t>sylaskdoan@gmail.com</t>
        </is>
      </c>
      <c r="L2" t="inlineStr">
        <is>
          <t>Volleyball</t>
        </is>
      </c>
      <c r="M2" t="inlineStr">
        <is>
          <t>Men</t>
        </is>
      </c>
      <c r="N2" t="inlineStr">
        <is>
          <t>Team</t>
        </is>
      </c>
      <c r="O2" t="inlineStr"/>
      <c r="P2" t="inlineStr">
        <is>
          <t>Timothy dao</t>
        </is>
      </c>
    </row>
    <row r="3">
      <c r="A3" t="inlineStr">
        <is>
          <t>PCC</t>
        </is>
      </c>
      <c r="B3" t="inlineStr">
        <is>
          <t>3610932</t>
        </is>
      </c>
      <c r="C3" t="inlineStr">
        <is>
          <t>99</t>
        </is>
      </c>
      <c r="D3" t="inlineStr">
        <is>
          <t>validated</t>
        </is>
      </c>
      <c r="E3" t="b">
        <v>0</v>
      </c>
      <c r="F3">
        <f>IMAGE("https://chmeetings.blob.core.windows.net/846969/attachments/jSqCYDu6wEGhHmvDctKIw/adebb1ad-5662-4028-b258-23ce1c422218.jpg")</f>
        <v/>
      </c>
      <c r="G3" t="inlineStr">
        <is>
          <t>Lai Jerry</t>
        </is>
      </c>
      <c r="H3" t="inlineStr">
        <is>
          <t>Male</t>
        </is>
      </c>
      <c r="I3" t="n">
        <v>28</v>
      </c>
      <c r="J3" t="inlineStr">
        <is>
          <t>(619) 402-7575</t>
        </is>
      </c>
      <c r="K3" t="inlineStr">
        <is>
          <t>jerry_lai1997@yahoo.com</t>
        </is>
      </c>
      <c r="L3" t="inlineStr">
        <is>
          <t>Volleyball</t>
        </is>
      </c>
      <c r="M3" t="inlineStr">
        <is>
          <t>Men</t>
        </is>
      </c>
      <c r="N3" t="inlineStr">
        <is>
          <t>Team</t>
        </is>
      </c>
      <c r="O3" t="inlineStr"/>
      <c r="P3" t="inlineStr"/>
    </row>
    <row r="4">
      <c r="A4" t="inlineStr">
        <is>
          <t>PCC</t>
        </is>
      </c>
      <c r="B4" t="inlineStr">
        <is>
          <t>3610933</t>
        </is>
      </c>
      <c r="C4" t="inlineStr">
        <is>
          <t>101</t>
        </is>
      </c>
      <c r="D4" t="inlineStr">
        <is>
          <t>validated</t>
        </is>
      </c>
      <c r="E4" t="b">
        <v>1</v>
      </c>
      <c r="F4">
        <f>IMAGE("https://chmeetings.blob.core.windows.net/846969/attachments/rsy8NHglukeGParGAUGW1g/b5dcbd2f-ae7f-4d6e-b042-75f29e50fee8.jpg")</f>
        <v/>
      </c>
      <c r="G4" t="inlineStr">
        <is>
          <t>huynh khang</t>
        </is>
      </c>
      <c r="H4" t="inlineStr">
        <is>
          <t>Male</t>
        </is>
      </c>
      <c r="I4" t="n">
        <v>20</v>
      </c>
      <c r="J4" t="inlineStr">
        <is>
          <t>(858) 305-9787</t>
        </is>
      </c>
      <c r="K4" t="inlineStr">
        <is>
          <t>khanghuynh1324@icloud.com</t>
        </is>
      </c>
      <c r="L4" t="inlineStr">
        <is>
          <t>Volleyball</t>
        </is>
      </c>
      <c r="M4" t="inlineStr">
        <is>
          <t>Men</t>
        </is>
      </c>
      <c r="N4" t="inlineStr">
        <is>
          <t>Team</t>
        </is>
      </c>
      <c r="O4" t="inlineStr"/>
      <c r="P4" t="inlineStr"/>
    </row>
    <row r="5">
      <c r="A5" t="inlineStr">
        <is>
          <t>PCC</t>
        </is>
      </c>
      <c r="B5" t="inlineStr">
        <is>
          <t>3610934</t>
        </is>
      </c>
      <c r="C5" t="inlineStr">
        <is>
          <t>100</t>
        </is>
      </c>
      <c r="D5" t="inlineStr">
        <is>
          <t>validated</t>
        </is>
      </c>
      <c r="E5" t="b">
        <v>1</v>
      </c>
      <c r="F5">
        <f>IMAGE("https://chmeetings.blob.core.windows.net/846969/attachments/UlcCVYaeNEOKklkE1etEw/8f0e0555-8491-4b7e-a7d5-4ea2e10c6a0c.jpg")</f>
        <v/>
      </c>
      <c r="G5" t="inlineStr">
        <is>
          <t>lai terry</t>
        </is>
      </c>
      <c r="H5" t="inlineStr">
        <is>
          <t>Male</t>
        </is>
      </c>
      <c r="I5" t="n">
        <v>25</v>
      </c>
      <c r="J5" t="inlineStr">
        <is>
          <t>(619) 219-1666</t>
        </is>
      </c>
      <c r="K5" t="inlineStr">
        <is>
          <t>laiterry123@gmail.com</t>
        </is>
      </c>
      <c r="L5" t="inlineStr">
        <is>
          <t>Volleyball</t>
        </is>
      </c>
      <c r="M5" t="inlineStr">
        <is>
          <t>Men</t>
        </is>
      </c>
      <c r="N5" t="inlineStr">
        <is>
          <t>Team</t>
        </is>
      </c>
      <c r="O5" t="inlineStr"/>
      <c r="P5" t="inlineStr"/>
    </row>
  </sheetData>
  <autoFilter ref="A1:P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9" customWidth="1" min="7" max="7"/>
    <col width="5" customWidth="1" min="8" max="8"/>
    <col width="9" customWidth="1" min="9" max="9"/>
    <col width="9" customWidth="1" min="10" max="10"/>
    <col width="15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PCC</t>
        </is>
      </c>
      <c r="B2" t="inlineStr">
        <is>
          <t>3610930</t>
        </is>
      </c>
      <c r="C2" t="inlineStr">
        <is>
          <t>94</t>
        </is>
      </c>
      <c r="D2" t="inlineStr">
        <is>
          <t>pending</t>
        </is>
      </c>
      <c r="E2" t="b">
        <v>1</v>
      </c>
      <c r="F2">
        <f>IMAGE("https://chmeetings.blob.core.windows.net/846969/attachments/0334zPheP0iaYDfGUyBQ2A/484ab1fa-b9eb-4695-9798-897b62cb6b4f.jpg")</f>
        <v/>
      </c>
      <c r="G2" t="inlineStr">
        <is>
          <t>Phan Daisey</t>
        </is>
      </c>
      <c r="H2" t="inlineStr">
        <is>
          <t>Female</t>
        </is>
      </c>
      <c r="I2" t="n">
        <v>16</v>
      </c>
      <c r="J2" t="inlineStr">
        <is>
          <t>(619) 227-8965</t>
        </is>
      </c>
      <c r="K2" t="inlineStr">
        <is>
          <t>daiseyphan441@gmail.com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  <row r="3">
      <c r="A3" t="inlineStr">
        <is>
          <t>PCC</t>
        </is>
      </c>
      <c r="B3" t="inlineStr">
        <is>
          <t>3615928</t>
        </is>
      </c>
      <c r="C3" t="inlineStr">
        <is>
          <t>98</t>
        </is>
      </c>
      <c r="D3" t="inlineStr">
        <is>
          <t>pending</t>
        </is>
      </c>
      <c r="E3" t="b">
        <v>1</v>
      </c>
      <c r="F3">
        <f>IMAGE("https://chmeetings.blob.core.windows.net/846969/attachments/yr8GQWRkaMhXEt644AUA/cc58517d-7f6e-43e7-b6eb-9441856782fb.jpg")</f>
        <v/>
      </c>
      <c r="G3" t="inlineStr">
        <is>
          <t>Thach Aimy</t>
        </is>
      </c>
      <c r="H3" t="inlineStr">
        <is>
          <t>Female</t>
        </is>
      </c>
      <c r="I3" t="n">
        <v>0</v>
      </c>
      <c r="J3" t="inlineStr">
        <is>
          <t>(619) 832-2469</t>
        </is>
      </c>
      <c r="K3" t="inlineStr">
        <is>
          <t>aimythach2008@gmail.com</t>
        </is>
      </c>
      <c r="L3" t="inlineStr">
        <is>
          <t>Volleyball</t>
        </is>
      </c>
      <c r="M3" t="inlineStr">
        <is>
          <t>Women</t>
        </is>
      </c>
      <c r="N3" t="inlineStr">
        <is>
          <t>Team</t>
        </is>
      </c>
      <c r="O3" t="inlineStr"/>
      <c r="P3" t="inlineStr"/>
    </row>
    <row r="4">
      <c r="A4" t="inlineStr">
        <is>
          <t>PCC</t>
        </is>
      </c>
      <c r="B4" t="inlineStr">
        <is>
          <t>3615923</t>
        </is>
      </c>
      <c r="C4" t="inlineStr">
        <is>
          <t>95</t>
        </is>
      </c>
      <c r="D4" t="inlineStr">
        <is>
          <t>pending</t>
        </is>
      </c>
      <c r="E4" t="b">
        <v>1</v>
      </c>
      <c r="F4">
        <f>IMAGE("https://chmeetings.blob.core.windows.net/846969/attachments/IoPT5OC820MZ0J9W3iYjg/3b910098-b32e-4041-af82-6d4931dcb398.jpg")</f>
        <v/>
      </c>
      <c r="G4" t="inlineStr">
        <is>
          <t>Thach Cammy</t>
        </is>
      </c>
      <c r="H4" t="inlineStr">
        <is>
          <t>Female</t>
        </is>
      </c>
      <c r="I4" t="n">
        <v>16</v>
      </c>
      <c r="J4" t="inlineStr">
        <is>
          <t>(619) 512-2261</t>
        </is>
      </c>
      <c r="K4" t="inlineStr">
        <is>
          <t>cammythach2009@gmail.com</t>
        </is>
      </c>
      <c r="L4" t="inlineStr">
        <is>
          <t>Volleyball</t>
        </is>
      </c>
      <c r="M4" t="inlineStr">
        <is>
          <t>Women</t>
        </is>
      </c>
      <c r="N4" t="inlineStr">
        <is>
          <t>Team</t>
        </is>
      </c>
      <c r="O4" t="inlineStr"/>
      <c r="P4" t="inlineStr"/>
    </row>
    <row r="5">
      <c r="A5" t="inlineStr">
        <is>
          <t>PCC</t>
        </is>
      </c>
      <c r="B5" t="inlineStr">
        <is>
          <t>3615939</t>
        </is>
      </c>
      <c r="C5" t="inlineStr">
        <is>
          <t>103</t>
        </is>
      </c>
      <c r="D5" t="inlineStr">
        <is>
          <t>pending</t>
        </is>
      </c>
      <c r="E5" t="b">
        <v>1</v>
      </c>
      <c r="F5">
        <f>IMAGE("https://chmeetings.blob.core.windows.net/846969/attachments/mM0gFFZvK0y4fHMGqX3qIA/e2efb60e-cb30-4d10-8462-78bce218d675.jpg")</f>
        <v/>
      </c>
      <c r="G5" t="inlineStr">
        <is>
          <t>Vuong Victoria</t>
        </is>
      </c>
      <c r="H5" t="inlineStr">
        <is>
          <t>Female</t>
        </is>
      </c>
      <c r="I5" t="n">
        <v>15</v>
      </c>
      <c r="J5" t="inlineStr">
        <is>
          <t>(858) 780-6524</t>
        </is>
      </c>
      <c r="K5" t="inlineStr">
        <is>
          <t>victoria.vuongg11@gmail.com</t>
        </is>
      </c>
      <c r="L5" t="inlineStr">
        <is>
          <t>Volleyball</t>
        </is>
      </c>
      <c r="M5" t="inlineStr">
        <is>
          <t>Women</t>
        </is>
      </c>
      <c r="N5" t="inlineStr">
        <is>
          <t>Team</t>
        </is>
      </c>
      <c r="O5" t="inlineStr"/>
      <c r="P5" t="inlineStr"/>
    </row>
  </sheetData>
  <autoFilter ref="A1: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2026-05-04T14:05:28Z</dcterms:created>
  <dcterms:modified xmlns:dcterms="http://purl.org/dc/terms/" xmlns:xsi="http://www.w3.org/2001/XMLSchema-instance" xsi:type="dcterms:W3CDTF">2026-05-04T14:05:29Z</dcterms:modified>
</cp:coreProperties>
</file>