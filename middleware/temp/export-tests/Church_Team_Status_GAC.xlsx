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adminton" sheetId="4" state="visible" r:id="rId4"/>
    <sheet xmlns:r="http://schemas.openxmlformats.org/officeDocument/2006/relationships" name="Basketball" sheetId="5" state="visible" r:id="rId5"/>
    <sheet xmlns:r="http://schemas.openxmlformats.org/officeDocument/2006/relationships" name="Bible Challenge" sheetId="6" state="visible" r:id="rId6"/>
    <sheet xmlns:r="http://schemas.openxmlformats.org/officeDocument/2006/relationships" name="Pickleball" sheetId="7" state="visible" r:id="rId7"/>
    <sheet xmlns:r="http://schemas.openxmlformats.org/officeDocument/2006/relationships" name="Pickleball 35" sheetId="8" state="visible" r:id="rId8"/>
    <sheet xmlns:r="http://schemas.openxmlformats.org/officeDocument/2006/relationships" name="Scripture Memorization" sheetId="9" state="visible" r:id="rId9"/>
    <sheet xmlns:r="http://schemas.openxmlformats.org/officeDocument/2006/relationships" name="Soccer - Coed Exhibition" sheetId="10" state="visible" r:id="rId10"/>
    <sheet xmlns:r="http://schemas.openxmlformats.org/officeDocument/2006/relationships" name="Table Tennis" sheetId="11" state="visible" r:id="rId11"/>
    <sheet xmlns:r="http://schemas.openxmlformats.org/officeDocument/2006/relationships" name="Table Tennis 35" sheetId="12" state="visible" r:id="rId12"/>
    <sheet xmlns:r="http://schemas.openxmlformats.org/officeDocument/2006/relationships" name="Track  Field" sheetId="13" state="visible" r:id="rId13"/>
    <sheet xmlns:r="http://schemas.openxmlformats.org/officeDocument/2006/relationships" name="Tug-of-war" sheetId="14" state="visible" r:id="rId14"/>
    <sheet xmlns:r="http://schemas.openxmlformats.org/officeDocument/2006/relationships" name="VB Men" sheetId="15" state="visible" r:id="rId15"/>
    <sheet xmlns:r="http://schemas.openxmlformats.org/officeDocument/2006/relationships" name="VB Women" sheetId="16" state="visible" r:id="rId16"/>
  </sheets>
  <definedNames>
    <definedName name="_xlnm._FilterDatabase" localSheetId="0" hidden="1">'Summary'!$A$1:$H$2</definedName>
    <definedName name="_xlnm._FilterDatabase" localSheetId="1" hidden="1">'Contacts-Status'!$A$1:$W$33</definedName>
    <definedName name="_xlnm._FilterDatabase" localSheetId="2" hidden="1">'Roster'!$A$1:$Q$55</definedName>
    <definedName name="_xlnm._FilterDatabase" localSheetId="3" hidden="1">'Badminton'!$A$1:$P$5</definedName>
    <definedName name="_xlnm._FilterDatabase" localSheetId="4" hidden="1">'Basketball'!$A$1:$P$8</definedName>
    <definedName name="_xlnm._FilterDatabase" localSheetId="5" hidden="1">'Bible Challenge'!$A$1:$P$4</definedName>
    <definedName name="_xlnm._FilterDatabase" localSheetId="6" hidden="1">'Pickleball'!$A$1:$P$4</definedName>
    <definedName name="_xlnm._FilterDatabase" localSheetId="7" hidden="1">'Pickleball 35'!$A$1:$P$2</definedName>
    <definedName name="_xlnm._FilterDatabase" localSheetId="8" hidden="1">'Scripture Memorization'!$A$1:$P$3</definedName>
    <definedName name="_xlnm._FilterDatabase" localSheetId="9" hidden="1">'Soccer - Coed Exhibition'!$A$1:$P$5</definedName>
    <definedName name="_xlnm._FilterDatabase" localSheetId="10" hidden="1">'Table Tennis'!$A$1:$P$8</definedName>
    <definedName name="_xlnm._FilterDatabase" localSheetId="11" hidden="1">'Table Tennis 35'!$A$1:$P$2</definedName>
    <definedName name="_xlnm._FilterDatabase" localSheetId="12" hidden="1">'Track  Field'!$A$1:$P$5</definedName>
    <definedName name="_xlnm._FilterDatabase" localSheetId="13" hidden="1">'Tug-of-war'!$A$1:$P$5</definedName>
    <definedName name="_xlnm._FilterDatabase" localSheetId="14" hidden="1">'VB Men'!$A$1:$P$7</definedName>
    <definedName name="_xlnm._FilterDatabase" localSheetId="15" hidden="1">'VB Women'!$A$1:$P$9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GAC</t>
        </is>
      </c>
      <c r="B2" t="n">
        <v>32</v>
      </c>
      <c r="C2" t="n">
        <v>30</v>
      </c>
      <c r="D2" t="n">
        <v>0</v>
      </c>
      <c r="E2" t="n">
        <v>30</v>
      </c>
      <c r="F2" t="n">
        <v>0</v>
      </c>
      <c r="G2" t="n">
        <v>10</v>
      </c>
      <c r="H2" t="inlineStr">
        <is>
          <t>2026-05-03 23:02:17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5" customWidth="1" min="3" max="3"/>
    <col width="4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4" customWidth="1" min="10" max="10"/>
    <col width="7" customWidth="1" min="11" max="11"/>
    <col width="9" customWidth="1" min="12" max="12"/>
    <col width="9" customWidth="1" min="13" max="13"/>
    <col width="12" customWidth="1" min="14" max="14"/>
    <col width="23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GAC</t>
        </is>
      </c>
      <c r="B2" t="inlineStr">
        <is>
          <t>4361937</t>
        </is>
      </c>
      <c r="C2" t="inlineStr">
        <is>
          <t>Isaiah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inlineStr">
        <is>
          <t>52</t>
        </is>
      </c>
      <c r="H2" t="inlineStr">
        <is>
          <t>pending</t>
        </is>
      </c>
      <c r="I2" t="n">
        <v>2</v>
      </c>
      <c r="J2" t="inlineStr">
        <is>
          <t>Male</t>
        </is>
      </c>
      <c r="K2" t="inlineStr">
        <is>
          <t>2013-10-22</t>
        </is>
      </c>
      <c r="L2" t="n">
        <v>12</v>
      </c>
      <c r="M2" t="inlineStr">
        <is>
          <t>(408) 772-9825</t>
        </is>
      </c>
      <c r="N2" t="inlineStr">
        <is>
          <t>Phuongluu22@yahoo.com</t>
        </is>
      </c>
      <c r="O2" t="inlineStr">
        <is>
          <t>Age 12 is below minimum age 13 for Volleyball</t>
        </is>
      </c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HYPERLINK("https://chmeetings.blob.core.windows.net/846969/attachments/5Nf9EulpAEWOHqW7O8qfHw/1fee0c8c-28e9-4436-82ae-c417b47471af.jpg", "https://chmeetings.blob.core.windows.net/846969/attachments/5Nf9EulpAEWOHqW7O8qfHw/1fee0c8c-28e9-4436-82ae-c417b47471af.jpg")</f>
        <v/>
      </c>
      <c r="W2" t="inlineStr">
        <is>
          <t>2026-05-02 19:54:35</t>
        </is>
      </c>
    </row>
    <row r="3">
      <c r="A3" t="inlineStr">
        <is>
          <t>GAC</t>
        </is>
      </c>
      <c r="B3" t="inlineStr">
        <is>
          <t>4361952</t>
        </is>
      </c>
      <c r="C3" t="inlineStr">
        <is>
          <t>Michael</t>
        </is>
      </c>
      <c r="D3" t="inlineStr">
        <is>
          <t>Cisneros</t>
        </is>
      </c>
      <c r="E3" t="inlineStr">
        <is>
          <t>Yes</t>
        </is>
      </c>
      <c r="F3" t="inlineStr">
        <is>
          <t>Yes</t>
        </is>
      </c>
      <c r="G3" t="inlineStr">
        <is>
          <t>57</t>
        </is>
      </c>
      <c r="H3" t="inlineStr">
        <is>
          <t>pending</t>
        </is>
      </c>
      <c r="I3" t="n">
        <v>1</v>
      </c>
      <c r="J3" t="inlineStr">
        <is>
          <t>Male</t>
        </is>
      </c>
      <c r="K3" t="inlineStr">
        <is>
          <t>2009-09-12</t>
        </is>
      </c>
      <c r="L3" t="n">
        <v>16</v>
      </c>
      <c r="M3" t="inlineStr">
        <is>
          <t>(925) 826-9988</t>
        </is>
      </c>
      <c r="N3" t="inlineStr">
        <is>
          <t>michael.cisneros03@icloud.com</t>
        </is>
      </c>
      <c r="O3" t="inlineStr">
        <is>
          <t>Consent form status unknown or not provided</t>
        </is>
      </c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HYPERLINK("https://chmeetings.blob.core.windows.net/846969/attachments/Hjxi9RYULUCBzV5lFGI92Q/b0ae99dc-29e8-4902-8dad-c2ffe54bf1b2.jpg", "https://chmeetings.blob.core.windows.net/846969/attachments/Hjxi9RYULUCBzV5lFGI92Q/b0ae99dc-29e8-4902-8dad-c2ffe54bf1b2.jpg")</f>
        <v/>
      </c>
      <c r="W3" t="inlineStr">
        <is>
          <t>2026-05-02 20:16:27</t>
        </is>
      </c>
    </row>
    <row r="4">
      <c r="A4" t="inlineStr">
        <is>
          <t>GAC</t>
        </is>
      </c>
      <c r="B4" t="inlineStr">
        <is>
          <t>3639279</t>
        </is>
      </c>
      <c r="C4" t="inlineStr">
        <is>
          <t>Gavrielle</t>
        </is>
      </c>
      <c r="D4" t="inlineStr">
        <is>
          <t>Ha</t>
        </is>
      </c>
      <c r="E4" t="inlineStr">
        <is>
          <t>Yes</t>
        </is>
      </c>
      <c r="F4" t="inlineStr">
        <is>
          <t>Yes</t>
        </is>
      </c>
      <c r="G4" t="inlineStr">
        <is>
          <t>51</t>
        </is>
      </c>
      <c r="H4" t="inlineStr">
        <is>
          <t>pending</t>
        </is>
      </c>
      <c r="I4" t="n">
        <v>1</v>
      </c>
      <c r="J4" t="inlineStr">
        <is>
          <t>Female</t>
        </is>
      </c>
      <c r="K4" t="inlineStr">
        <is>
          <t>2013-03-18</t>
        </is>
      </c>
      <c r="L4" t="n">
        <v>13</v>
      </c>
      <c r="M4" t="inlineStr">
        <is>
          <t>(408) 332-1859</t>
        </is>
      </c>
      <c r="N4" t="inlineStr">
        <is>
          <t>Lovekountry2@gmail.com</t>
        </is>
      </c>
      <c r="O4" t="inlineStr">
        <is>
          <t>Consent form status unknown or not provided</t>
        </is>
      </c>
      <c r="P4" t="inlineStr"/>
      <c r="Q4" t="inlineStr"/>
      <c r="R4" t="inlineStr"/>
      <c r="S4" t="inlineStr"/>
      <c r="T4" t="inlineStr"/>
      <c r="U4" t="inlineStr"/>
      <c r="V4">
        <f>HYPERLINK("https://chmeetings.blob.core.windows.net/846969/attachments/B9YkQiCMUuEl7fhMqM94w/b0f466ec-8acd-4c6f-adef-e6a3339767c4.jpg", "https://chmeetings.blob.core.windows.net/846969/attachments/B9YkQiCMUuEl7fhMqM94w/b0f466ec-8acd-4c6f-adef-e6a3339767c4.jpg")</f>
        <v/>
      </c>
      <c r="W4" t="inlineStr">
        <is>
          <t>2026-05-02 20:09:43</t>
        </is>
      </c>
    </row>
    <row r="5">
      <c r="A5" t="inlineStr">
        <is>
          <t>GAC</t>
        </is>
      </c>
      <c r="B5" t="inlineStr">
        <is>
          <t>3610922</t>
        </is>
      </c>
      <c r="C5" t="inlineStr">
        <is>
          <t>Natalie</t>
        </is>
      </c>
      <c r="D5" t="inlineStr">
        <is>
          <t>Huynh</t>
        </is>
      </c>
      <c r="E5" t="inlineStr">
        <is>
          <t>Yes</t>
        </is>
      </c>
      <c r="F5" t="inlineStr">
        <is>
          <t>Yes</t>
        </is>
      </c>
      <c r="G5" t="inlineStr">
        <is>
          <t>59</t>
        </is>
      </c>
      <c r="H5" t="inlineStr">
        <is>
          <t>pending</t>
        </is>
      </c>
      <c r="I5" t="n">
        <v>1</v>
      </c>
      <c r="J5" t="inlineStr">
        <is>
          <t>Female</t>
        </is>
      </c>
      <c r="K5" t="inlineStr">
        <is>
          <t>2009-07-10</t>
        </is>
      </c>
      <c r="L5" t="n">
        <v>17</v>
      </c>
      <c r="M5" t="inlineStr">
        <is>
          <t>(510) 316-6941</t>
        </is>
      </c>
      <c r="N5" t="inlineStr">
        <is>
          <t>Evanassist@gmail.com</t>
        </is>
      </c>
      <c r="O5" t="inlineStr">
        <is>
          <t>Consent form status unknown or not provided</t>
        </is>
      </c>
      <c r="P5" t="inlineStr"/>
      <c r="Q5" t="inlineStr"/>
      <c r="R5" t="inlineStr"/>
      <c r="S5" t="inlineStr"/>
      <c r="T5" t="inlineStr"/>
      <c r="U5" t="inlineStr"/>
      <c r="V5">
        <f>HYPERLINK("https://chmeetings.blob.core.windows.net/846969/attachments/vznt2lixkKeNUrklylAOQ/9b94be0d-392e-4d1e-99d0-3439fb73bcd7.jpg", "https://chmeetings.blob.core.windows.net/846969/attachments/vznt2lixkKeNUrklylAOQ/9b94be0d-392e-4d1e-99d0-3439fb73bcd7.jpg")</f>
        <v/>
      </c>
      <c r="W5" t="inlineStr">
        <is>
          <t>2026-05-02 20:17:27</t>
        </is>
      </c>
    </row>
    <row r="6">
      <c r="A6" t="inlineStr">
        <is>
          <t>GAC</t>
        </is>
      </c>
      <c r="B6" t="inlineStr">
        <is>
          <t>3623148</t>
        </is>
      </c>
      <c r="C6" t="inlineStr">
        <is>
          <t>Abigail</t>
        </is>
      </c>
      <c r="D6" t="inlineStr">
        <is>
          <t>Ngo</t>
        </is>
      </c>
      <c r="E6" t="inlineStr">
        <is>
          <t>Yes</t>
        </is>
      </c>
      <c r="F6" t="inlineStr">
        <is>
          <t>Yes</t>
        </is>
      </c>
      <c r="G6" t="inlineStr">
        <is>
          <t>43</t>
        </is>
      </c>
      <c r="H6" t="inlineStr">
        <is>
          <t>pending</t>
        </is>
      </c>
      <c r="I6" t="n">
        <v>1</v>
      </c>
      <c r="J6" t="inlineStr">
        <is>
          <t>Female</t>
        </is>
      </c>
      <c r="K6" t="inlineStr">
        <is>
          <t>2008-11-15</t>
        </is>
      </c>
      <c r="L6" t="n">
        <v>17</v>
      </c>
      <c r="M6" t="inlineStr">
        <is>
          <t>(408) 394-9972</t>
        </is>
      </c>
      <c r="N6" t="inlineStr">
        <is>
          <t>abigailpearln@gmail.com</t>
        </is>
      </c>
      <c r="O6" t="inlineStr">
        <is>
          <t>Consent form status unknown or not provided</t>
        </is>
      </c>
      <c r="P6" t="inlineStr"/>
      <c r="Q6" t="inlineStr"/>
      <c r="R6" t="inlineStr"/>
      <c r="S6" t="inlineStr"/>
      <c r="T6" t="inlineStr"/>
      <c r="U6" t="inlineStr"/>
      <c r="V6">
        <f>HYPERLINK("https://chmeetings.blob.core.windows.net/846969/attachments/4mCxNo0K6gT61d20NBA/fcae834f-995c-404b-ac0d-725ca2e16255.jpg", "https://chmeetings.blob.core.windows.net/846969/attachments/4mCxNo0K6gT61d20NBA/fcae834f-995c-404b-ac0d-725ca2e16255.jpg")</f>
        <v/>
      </c>
      <c r="W6" t="inlineStr">
        <is>
          <t>2026-05-02 20:18:33</t>
        </is>
      </c>
    </row>
    <row r="7">
      <c r="A7" t="inlineStr">
        <is>
          <t>GAC</t>
        </is>
      </c>
      <c r="B7" t="inlineStr">
        <is>
          <t>3623145</t>
        </is>
      </c>
      <c r="C7" t="inlineStr">
        <is>
          <t>Elijah</t>
        </is>
      </c>
      <c r="D7" t="inlineStr">
        <is>
          <t>Nguyen</t>
        </is>
      </c>
      <c r="E7" t="inlineStr">
        <is>
          <t>Yes</t>
        </is>
      </c>
      <c r="F7" t="inlineStr">
        <is>
          <t>Yes</t>
        </is>
      </c>
      <c r="G7" t="inlineStr">
        <is>
          <t>49</t>
        </is>
      </c>
      <c r="H7" t="inlineStr">
        <is>
          <t>pending</t>
        </is>
      </c>
      <c r="I7" t="n">
        <v>1</v>
      </c>
      <c r="J7" t="inlineStr">
        <is>
          <t>Male</t>
        </is>
      </c>
      <c r="K7" t="inlineStr">
        <is>
          <t>2011-09-14</t>
        </is>
      </c>
      <c r="L7" t="n">
        <v>14</v>
      </c>
      <c r="M7" t="inlineStr">
        <is>
          <t>(408) 772-9825</t>
        </is>
      </c>
      <c r="N7" t="inlineStr">
        <is>
          <t>write2phuong2020@gmail.com</t>
        </is>
      </c>
      <c r="O7" t="inlineStr">
        <is>
          <t>Consent form status unknown or not provided</t>
        </is>
      </c>
      <c r="P7" t="inlineStr"/>
      <c r="Q7" t="inlineStr"/>
      <c r="R7" t="inlineStr"/>
      <c r="S7" t="inlineStr"/>
      <c r="T7" t="inlineStr"/>
      <c r="U7" t="inlineStr"/>
      <c r="V7">
        <f>HYPERLINK("https://chmeetings.blob.core.windows.net/846969/attachments/0thvFv8nzUSwHPFCj8rLmw/70d3cc8f-121f-41dd-afb3-47222f355027.jpg", "https://chmeetings.blob.core.windows.net/846969/attachments/0thvFv8nzUSwHPFCj8rLmw/70d3cc8f-121f-41dd-afb3-47222f355027.jpg")</f>
        <v/>
      </c>
      <c r="W7" t="inlineStr">
        <is>
          <t>2026-05-02 19:57:15</t>
        </is>
      </c>
    </row>
    <row r="8">
      <c r="A8" t="inlineStr">
        <is>
          <t>GAC</t>
        </is>
      </c>
      <c r="B8" t="inlineStr">
        <is>
          <t>3610918</t>
        </is>
      </c>
      <c r="C8" t="inlineStr">
        <is>
          <t>Justtin</t>
        </is>
      </c>
      <c r="D8" t="inlineStr">
        <is>
          <t>Pham</t>
        </is>
      </c>
      <c r="E8" t="inlineStr">
        <is>
          <t>Yes</t>
        </is>
      </c>
      <c r="F8" t="inlineStr">
        <is>
          <t>Yes</t>
        </is>
      </c>
      <c r="G8" t="inlineStr">
        <is>
          <t>108</t>
        </is>
      </c>
      <c r="H8" t="inlineStr">
        <is>
          <t>pending</t>
        </is>
      </c>
      <c r="I8" t="n">
        <v>1</v>
      </c>
      <c r="J8" t="inlineStr">
        <is>
          <t>Male</t>
        </is>
      </c>
      <c r="K8" t="inlineStr">
        <is>
          <t>2010-10-06</t>
        </is>
      </c>
      <c r="L8" t="n">
        <v>15</v>
      </c>
      <c r="M8" t="inlineStr">
        <is>
          <t>(925) 406-9096</t>
        </is>
      </c>
      <c r="N8" t="inlineStr">
        <is>
          <t>justjusttinpham@gmail.com</t>
        </is>
      </c>
      <c r="O8" t="inlineStr">
        <is>
          <t>Consent form status unknown or not provided</t>
        </is>
      </c>
      <c r="P8" t="inlineStr"/>
      <c r="Q8" t="inlineStr"/>
      <c r="R8" t="inlineStr"/>
      <c r="S8" t="inlineStr"/>
      <c r="T8" t="inlineStr"/>
      <c r="U8" t="inlineStr"/>
      <c r="V8">
        <f>HYPERLINK("https://chmeetings.blob.core.windows.net/846969/attachments/EGfLYzrf4UuvbrSrl3fCuQ/a15519c8-561a-4090-ae77-e8e26bc544a0.jpg", "https://chmeetings.blob.core.windows.net/846969/attachments/EGfLYzrf4UuvbrSrl3fCuQ/a15519c8-561a-4090-ae77-e8e26bc544a0.jpg")</f>
        <v/>
      </c>
      <c r="W8" t="inlineStr">
        <is>
          <t>2026-05-03 21:49:28</t>
        </is>
      </c>
    </row>
    <row r="9">
      <c r="A9" t="inlineStr">
        <is>
          <t>GAC</t>
        </is>
      </c>
      <c r="B9" t="inlineStr">
        <is>
          <t>4363701</t>
        </is>
      </c>
      <c r="C9" t="inlineStr">
        <is>
          <t>Caitlin</t>
        </is>
      </c>
      <c r="D9" t="inlineStr">
        <is>
          <t>Tran</t>
        </is>
      </c>
      <c r="E9" t="inlineStr">
        <is>
          <t>Yes</t>
        </is>
      </c>
      <c r="F9" t="inlineStr">
        <is>
          <t>Yes</t>
        </is>
      </c>
      <c r="G9" t="inlineStr">
        <is>
          <t>105</t>
        </is>
      </c>
      <c r="H9" t="inlineStr">
        <is>
          <t>pending</t>
        </is>
      </c>
      <c r="I9" t="n">
        <v>1</v>
      </c>
      <c r="J9" t="inlineStr">
        <is>
          <t>Female</t>
        </is>
      </c>
      <c r="K9" t="inlineStr">
        <is>
          <t>2013-05-15</t>
        </is>
      </c>
      <c r="L9" t="n">
        <v>13</v>
      </c>
      <c r="M9" t="inlineStr">
        <is>
          <t>(408) 568-7264</t>
        </is>
      </c>
      <c r="N9" t="inlineStr">
        <is>
          <t>timltran2003@yahoo.com</t>
        </is>
      </c>
      <c r="O9" t="inlineStr">
        <is>
          <t>Consent form status unknown or not provided</t>
        </is>
      </c>
      <c r="P9" t="inlineStr"/>
      <c r="Q9" t="inlineStr"/>
      <c r="R9" t="inlineStr"/>
      <c r="S9" t="inlineStr"/>
      <c r="T9" t="inlineStr"/>
      <c r="U9" t="inlineStr"/>
      <c r="V9">
        <f>HYPERLINK("https://chmeetings.blob.core.windows.net/846969/attachments/PE42ANWDEO4itEGSLic9A/c8d67430-bdd3-47dd-a724-f577a5d5e3e7.jpg", "https://chmeetings.blob.core.windows.net/846969/attachments/PE42ANWDEO4itEGSLic9A/c8d67430-bdd3-47dd-a724-f577a5d5e3e7.jpg")</f>
        <v/>
      </c>
      <c r="W9" t="inlineStr">
        <is>
          <t>2026-05-03 22:03:03</t>
        </is>
      </c>
    </row>
    <row r="10">
      <c r="A10" t="inlineStr">
        <is>
          <t>GAC</t>
        </is>
      </c>
      <c r="B10" t="inlineStr">
        <is>
          <t>3618804</t>
        </is>
      </c>
      <c r="C10" t="inlineStr">
        <is>
          <t>Phillip</t>
        </is>
      </c>
      <c r="D10" t="inlineStr">
        <is>
          <t>Tran</t>
        </is>
      </c>
      <c r="E10" t="inlineStr">
        <is>
          <t>Yes</t>
        </is>
      </c>
      <c r="F10" t="inlineStr">
        <is>
          <t>Yes</t>
        </is>
      </c>
      <c r="G10" t="inlineStr">
        <is>
          <t>111</t>
        </is>
      </c>
      <c r="H10" t="inlineStr">
        <is>
          <t>pending</t>
        </is>
      </c>
      <c r="I10" t="n">
        <v>1</v>
      </c>
      <c r="J10" t="inlineStr">
        <is>
          <t>Male</t>
        </is>
      </c>
      <c r="K10" t="inlineStr">
        <is>
          <t>2011-04-20</t>
        </is>
      </c>
      <c r="L10" t="n">
        <v>15</v>
      </c>
      <c r="M10" t="inlineStr">
        <is>
          <t>(408) 616-9839</t>
        </is>
      </c>
      <c r="N10" t="inlineStr">
        <is>
          <t>phillipissupercool538@gmail.com</t>
        </is>
      </c>
      <c r="O10" t="inlineStr">
        <is>
          <t>Consent form status unknown or not provided</t>
        </is>
      </c>
      <c r="P10" t="inlineStr"/>
      <c r="Q10" t="inlineStr"/>
      <c r="R10" t="inlineStr"/>
      <c r="S10" t="inlineStr"/>
      <c r="T10" t="inlineStr"/>
      <c r="U10" t="inlineStr"/>
      <c r="V10">
        <f>HYPERLINK("https://chmeetings.blob.core.windows.net/846969/attachments/fa57rd7DEUi3wuhMi4fndw/4e49d748-6cc9-4bf5-a217-81f093199461.jpg", "https://chmeetings.blob.core.windows.net/846969/attachments/fa57rd7DEUi3wuhMi4fndw/4e49d748-6cc9-4bf5-a217-81f093199461.jpg")</f>
        <v/>
      </c>
      <c r="W10" t="inlineStr">
        <is>
          <t>2026-05-03 21:49:11</t>
        </is>
      </c>
    </row>
    <row r="11">
      <c r="A11" t="inlineStr">
        <is>
          <t>GAC</t>
        </is>
      </c>
      <c r="B11" t="inlineStr">
        <is>
          <t>3610919</t>
        </is>
      </c>
      <c r="C11" t="inlineStr">
        <is>
          <t>Noah</t>
        </is>
      </c>
      <c r="D11" t="inlineStr">
        <is>
          <t>Vo</t>
        </is>
      </c>
      <c r="E11" t="inlineStr">
        <is>
          <t>Yes</t>
        </is>
      </c>
      <c r="F11" t="inlineStr">
        <is>
          <t>Yes</t>
        </is>
      </c>
      <c r="G11" t="inlineStr">
        <is>
          <t>60</t>
        </is>
      </c>
      <c r="H11" t="inlineStr">
        <is>
          <t>pending</t>
        </is>
      </c>
      <c r="I11" t="n">
        <v>1</v>
      </c>
      <c r="J11" t="inlineStr">
        <is>
          <t>Male</t>
        </is>
      </c>
      <c r="K11" t="inlineStr">
        <is>
          <t>2009-08-18</t>
        </is>
      </c>
      <c r="L11" t="n">
        <v>16</v>
      </c>
      <c r="M11" t="inlineStr">
        <is>
          <t>(510) 605-8983</t>
        </is>
      </c>
      <c r="N11" t="inlineStr">
        <is>
          <t>noahhappysmiles@gmail.com</t>
        </is>
      </c>
      <c r="O11" t="inlineStr">
        <is>
          <t>Consent form status unknown or not provided</t>
        </is>
      </c>
      <c r="P11" t="inlineStr"/>
      <c r="Q11" t="inlineStr"/>
      <c r="R11" t="inlineStr"/>
      <c r="S11" t="inlineStr"/>
      <c r="T11" t="inlineStr"/>
      <c r="U11" t="inlineStr"/>
      <c r="V11">
        <f>HYPERLINK("https://chmeetings.blob.core.windows.net/846969/attachments/5eKHOYUtGk6OW2Yv9KYF7Q/38b6a312-42c2-45d1-bf6e-ff86f4ceeca3.jpg", "https://chmeetings.blob.core.windows.net/846969/attachments/5eKHOYUtGk6OW2Yv9KYF7Q/38b6a312-42c2-45d1-bf6e-ff86f4ceeca3.jpg")</f>
        <v/>
      </c>
      <c r="W11" t="inlineStr">
        <is>
          <t>2026-05-02 20:10:27</t>
        </is>
      </c>
    </row>
    <row r="12">
      <c r="A12" t="inlineStr">
        <is>
          <t>GAC</t>
        </is>
      </c>
      <c r="B12" t="inlineStr">
        <is>
          <t>4363700</t>
        </is>
      </c>
      <c r="C12" t="inlineStr">
        <is>
          <t>Marisa</t>
        </is>
      </c>
      <c r="D12" t="inlineStr">
        <is>
          <t>Ahmed</t>
        </is>
      </c>
      <c r="E12" t="inlineStr">
        <is>
          <t>Yes</t>
        </is>
      </c>
      <c r="F12" t="inlineStr">
        <is>
          <t>No</t>
        </is>
      </c>
      <c r="G12" t="inlineStr">
        <is>
          <t>109</t>
        </is>
      </c>
      <c r="H12" t="inlineStr">
        <is>
          <t>validated</t>
        </is>
      </c>
      <c r="I12" t="n">
        <v>0</v>
      </c>
      <c r="J12" t="inlineStr">
        <is>
          <t>Female</t>
        </is>
      </c>
      <c r="K12" t="inlineStr">
        <is>
          <t>1996-03-26</t>
        </is>
      </c>
      <c r="L12" t="n">
        <v>30</v>
      </c>
      <c r="M12" t="inlineStr">
        <is>
          <t>(408) 209-1904</t>
        </is>
      </c>
      <c r="N12" t="inlineStr">
        <is>
          <t>mmllahmed@gmail.com</t>
        </is>
      </c>
      <c r="O12" t="inlineStr"/>
      <c r="P12" t="inlineStr"/>
      <c r="Q12" t="inlineStr"/>
      <c r="R12" t="inlineStr"/>
      <c r="S12" t="inlineStr"/>
      <c r="T12" t="inlineStr"/>
      <c r="U12" t="inlineStr"/>
      <c r="V12">
        <f>HYPERLINK("https://chmeetings.blob.core.windows.net/846969/attachments/qTC9Uat4MUaxatcLkF0ToA/508040b5-57e0-45eb-af89-0ef09a49a069.jpg", "https://chmeetings.blob.core.windows.net/846969/attachments/qTC9Uat4MUaxatcLkF0ToA/508040b5-57e0-45eb-af89-0ef09a49a069.jpg")</f>
        <v/>
      </c>
      <c r="W12" t="inlineStr">
        <is>
          <t>2026-05-03 22:03:03</t>
        </is>
      </c>
    </row>
    <row r="13">
      <c r="A13" t="inlineStr">
        <is>
          <t>GAC</t>
        </is>
      </c>
      <c r="B13" t="inlineStr">
        <is>
          <t>3615957</t>
        </is>
      </c>
      <c r="C13" t="inlineStr">
        <is>
          <t>Minhthu</t>
        </is>
      </c>
      <c r="D13" t="inlineStr">
        <is>
          <t>Bui</t>
        </is>
      </c>
      <c r="E13" t="inlineStr">
        <is>
          <t>Yes</t>
        </is>
      </c>
      <c r="F13" t="inlineStr">
        <is>
          <t>Yes</t>
        </is>
      </c>
      <c r="G13" t="inlineStr">
        <is>
          <t>110</t>
        </is>
      </c>
      <c r="H13" t="inlineStr">
        <is>
          <t>validated</t>
        </is>
      </c>
      <c r="I13" t="n">
        <v>0</v>
      </c>
      <c r="J13" t="inlineStr">
        <is>
          <t>Female</t>
        </is>
      </c>
      <c r="K13" t="inlineStr">
        <is>
          <t>1992-03-06</t>
        </is>
      </c>
      <c r="L13" t="n">
        <v>34</v>
      </c>
      <c r="M13" t="inlineStr">
        <is>
          <t>(714) 548-5798</t>
        </is>
      </c>
      <c r="N13" t="inlineStr">
        <is>
          <t>Mtbui03@gmail.com</t>
        </is>
      </c>
      <c r="O13" t="inlineStr"/>
      <c r="P13" t="inlineStr"/>
      <c r="Q13" t="inlineStr"/>
      <c r="R13" t="inlineStr"/>
      <c r="S13" t="inlineStr"/>
      <c r="T13" t="inlineStr"/>
      <c r="U13" t="inlineStr"/>
      <c r="V13">
        <f>HYPERLINK("https://chmeetings.blob.core.windows.net/846969/attachments/Kdpjhjg39UmtS12V5Nbyyg/bbe6199a-c907-413d-b103-9e4128d54753.jpg", "https://chmeetings.blob.core.windows.net/846969/attachments/Kdpjhjg39UmtS12V5Nbyyg/bbe6199a-c907-413d-b103-9e4128d54753.jpg")</f>
        <v/>
      </c>
      <c r="W13" t="inlineStr">
        <is>
          <t>2026-05-03 21:55:52</t>
        </is>
      </c>
    </row>
    <row r="14">
      <c r="A14" t="inlineStr">
        <is>
          <t>GAC</t>
        </is>
      </c>
      <c r="B14" t="inlineStr">
        <is>
          <t>3618803</t>
        </is>
      </c>
      <c r="C14" t="inlineStr">
        <is>
          <t>Brendan</t>
        </is>
      </c>
      <c r="D14" t="inlineStr">
        <is>
          <t>Chau</t>
        </is>
      </c>
      <c r="E14" t="inlineStr">
        <is>
          <t>Yes</t>
        </is>
      </c>
      <c r="F14" t="inlineStr">
        <is>
          <t>Yes</t>
        </is>
      </c>
      <c r="G14" t="inlineStr">
        <is>
          <t>47</t>
        </is>
      </c>
      <c r="H14" t="inlineStr">
        <is>
          <t>validated</t>
        </is>
      </c>
      <c r="I14" t="n">
        <v>0</v>
      </c>
      <c r="J14" t="inlineStr">
        <is>
          <t>Male</t>
        </is>
      </c>
      <c r="K14" t="inlineStr">
        <is>
          <t>1998-07-15</t>
        </is>
      </c>
      <c r="L14" t="n">
        <v>28</v>
      </c>
      <c r="M14" t="inlineStr">
        <is>
          <t>(408) 781-6867</t>
        </is>
      </c>
      <c r="N14" t="inlineStr">
        <is>
          <t>bvanchau35@gmail.com</t>
        </is>
      </c>
      <c r="O14" t="inlineStr"/>
      <c r="P14" t="inlineStr"/>
      <c r="Q14" t="inlineStr"/>
      <c r="R14" t="inlineStr"/>
      <c r="S14" t="inlineStr"/>
      <c r="T14" t="inlineStr"/>
      <c r="U14" t="inlineStr"/>
      <c r="V14">
        <f>HYPERLINK("https://chmeetings.blob.core.windows.net/846969/attachments/8RaR3P2EW0W4gXH4RYhbTA/5ceea1d8-d408-4951-80f1-990d0318e7f1.jpg", "https://chmeetings.blob.core.windows.net/846969/attachments/8RaR3P2EW0W4gXH4RYhbTA/5ceea1d8-d408-4951-80f1-990d0318e7f1.jpg")</f>
        <v/>
      </c>
      <c r="W14" t="inlineStr">
        <is>
          <t>2026-05-02 20:00:57</t>
        </is>
      </c>
    </row>
    <row r="15">
      <c r="A15" t="inlineStr">
        <is>
          <t>GAC</t>
        </is>
      </c>
      <c r="B15" t="inlineStr">
        <is>
          <t>3610915</t>
        </is>
      </c>
      <c r="C15" t="inlineStr">
        <is>
          <t>Joshua</t>
        </is>
      </c>
      <c r="D15" t="inlineStr">
        <is>
          <t>Dang</t>
        </is>
      </c>
      <c r="E15" t="inlineStr">
        <is>
          <t>Yes</t>
        </is>
      </c>
      <c r="F15" t="inlineStr">
        <is>
          <t>Yes</t>
        </is>
      </c>
      <c r="G15" t="inlineStr">
        <is>
          <t>55</t>
        </is>
      </c>
      <c r="H15" t="inlineStr">
        <is>
          <t>validated</t>
        </is>
      </c>
      <c r="I15" t="n">
        <v>0</v>
      </c>
      <c r="J15" t="inlineStr">
        <is>
          <t>Male</t>
        </is>
      </c>
      <c r="K15" t="inlineStr">
        <is>
          <t>2006-03-03</t>
        </is>
      </c>
      <c r="L15" t="n">
        <v>20</v>
      </c>
      <c r="M15" t="inlineStr">
        <is>
          <t>(669) 207-9451</t>
        </is>
      </c>
      <c r="N15" t="inlineStr">
        <is>
          <t>joshdang336@gmail.com</t>
        </is>
      </c>
      <c r="O15" t="inlineStr"/>
      <c r="P15" t="inlineStr"/>
      <c r="Q15" t="inlineStr"/>
      <c r="R15" t="inlineStr"/>
      <c r="S15" t="inlineStr"/>
      <c r="T15" t="inlineStr"/>
      <c r="U15" t="inlineStr"/>
      <c r="V15">
        <f>HYPERLINK("https://chmeetings.blob.core.windows.net/846969/attachments/4FXwXlnpfkCUWrqQHd3hyA/e34c034d-999f-4910-8e93-b20c75a2480d.jpg", "https://chmeetings.blob.core.windows.net/846969/attachments/4FXwXlnpfkCUWrqQHd3hyA/e34c034d-999f-4910-8e93-b20c75a2480d.jpg")</f>
        <v/>
      </c>
      <c r="W15" t="inlineStr">
        <is>
          <t>2026-05-02 20:16:10</t>
        </is>
      </c>
    </row>
    <row r="16">
      <c r="A16" t="inlineStr">
        <is>
          <t>GAC</t>
        </is>
      </c>
      <c r="B16" t="inlineStr">
        <is>
          <t>3610923</t>
        </is>
      </c>
      <c r="C16" t="inlineStr">
        <is>
          <t>Alexander</t>
        </is>
      </c>
      <c r="D16" t="inlineStr">
        <is>
          <t>Huynh</t>
        </is>
      </c>
      <c r="E16" t="inlineStr">
        <is>
          <t>Yes</t>
        </is>
      </c>
      <c r="F16" t="inlineStr">
        <is>
          <t>Yes</t>
        </is>
      </c>
      <c r="G16" t="inlineStr">
        <is>
          <t>44</t>
        </is>
      </c>
      <c r="H16" t="inlineStr">
        <is>
          <t>validated</t>
        </is>
      </c>
      <c r="I16" t="n">
        <v>0</v>
      </c>
      <c r="J16" t="inlineStr">
        <is>
          <t>Male</t>
        </is>
      </c>
      <c r="K16" t="inlineStr">
        <is>
          <t>2007-12-17</t>
        </is>
      </c>
      <c r="L16" t="n">
        <v>18</v>
      </c>
      <c r="M16" t="inlineStr">
        <is>
          <t>(510) 316-6941</t>
        </is>
      </c>
      <c r="N16" t="inlineStr">
        <is>
          <t>Evanassist@gmail.com</t>
        </is>
      </c>
      <c r="O16" t="inlineStr"/>
      <c r="P16" t="inlineStr"/>
      <c r="Q16" t="inlineStr"/>
      <c r="R16" t="inlineStr"/>
      <c r="S16" t="inlineStr"/>
      <c r="T16" t="inlineStr"/>
      <c r="U16" t="inlineStr"/>
      <c r="V16">
        <f>HYPERLINK("https://chmeetings.blob.core.windows.net/846969/attachments/AJjEeJ7FkyqVeAXFVXrlg/66768031-3472-431a-97e3-c4999286e61d.jpg", "https://chmeetings.blob.core.windows.net/846969/attachments/AJjEeJ7FkyqVeAXFVXrlg/66768031-3472-431a-97e3-c4999286e61d.jpg")</f>
        <v/>
      </c>
      <c r="W16" t="inlineStr">
        <is>
          <t>2026-05-02 20:15:27</t>
        </is>
      </c>
    </row>
    <row r="17">
      <c r="A17" t="inlineStr">
        <is>
          <t>GAC</t>
        </is>
      </c>
      <c r="B17" t="inlineStr">
        <is>
          <t>3616069</t>
        </is>
      </c>
      <c r="C17" t="inlineStr">
        <is>
          <t>Brian</t>
        </is>
      </c>
      <c r="D17" t="inlineStr">
        <is>
          <t>Le</t>
        </is>
      </c>
      <c r="E17" t="inlineStr">
        <is>
          <t>Yes</t>
        </is>
      </c>
      <c r="F17" t="inlineStr">
        <is>
          <t>Yes</t>
        </is>
      </c>
      <c r="G17" t="inlineStr">
        <is>
          <t>48</t>
        </is>
      </c>
      <c r="H17" t="inlineStr">
        <is>
          <t>validated</t>
        </is>
      </c>
      <c r="I17" t="n">
        <v>0</v>
      </c>
      <c r="J17" t="inlineStr">
        <is>
          <t>Male</t>
        </is>
      </c>
      <c r="K17" t="inlineStr">
        <is>
          <t>2000-07-08</t>
        </is>
      </c>
      <c r="L17" t="n">
        <v>26</v>
      </c>
      <c r="M17" t="inlineStr">
        <is>
          <t>(669) 255-1182</t>
        </is>
      </c>
      <c r="N17" t="inlineStr">
        <is>
          <t>lebrian0708@gmail.com</t>
        </is>
      </c>
      <c r="O17" t="inlineStr"/>
      <c r="P17" t="inlineStr"/>
      <c r="Q17" t="inlineStr"/>
      <c r="R17" t="inlineStr"/>
      <c r="S17" t="inlineStr"/>
      <c r="T17" t="inlineStr"/>
      <c r="U17" t="inlineStr"/>
      <c r="V17">
        <f>HYPERLINK("https://chmeetings.blob.core.windows.net/846969/attachments/O8QD4sgd0CUWG0wYocsQ/50c2d27b-96d9-4dc3-8835-56e05b828e31.jpg", "https://chmeetings.blob.core.windows.net/846969/attachments/O8QD4sgd0CUWG0wYocsQ/50c2d27b-96d9-4dc3-8835-56e05b828e31.jpg")</f>
        <v/>
      </c>
      <c r="W17" t="inlineStr">
        <is>
          <t>2026-05-02 20:16:40</t>
        </is>
      </c>
    </row>
    <row r="18">
      <c r="A18" t="inlineStr">
        <is>
          <t>GAC</t>
        </is>
      </c>
      <c r="B18" t="inlineStr">
        <is>
          <t>4361940</t>
        </is>
      </c>
      <c r="C18" t="inlineStr">
        <is>
          <t>Jill</t>
        </is>
      </c>
      <c r="D18" t="inlineStr">
        <is>
          <t>Mangawang</t>
        </is>
      </c>
      <c r="E18" t="inlineStr">
        <is>
          <t>Yes</t>
        </is>
      </c>
      <c r="F18" t="inlineStr">
        <is>
          <t>No</t>
        </is>
      </c>
      <c r="G18" t="inlineStr">
        <is>
          <t>54</t>
        </is>
      </c>
      <c r="H18" t="inlineStr">
        <is>
          <t>validated</t>
        </is>
      </c>
      <c r="I18" t="n">
        <v>0</v>
      </c>
      <c r="J18" t="inlineStr">
        <is>
          <t>Female</t>
        </is>
      </c>
      <c r="K18" t="inlineStr">
        <is>
          <t>2000-02-19</t>
        </is>
      </c>
      <c r="L18" t="n">
        <v>26</v>
      </c>
      <c r="M18" t="inlineStr">
        <is>
          <t>(650) 773-4162</t>
        </is>
      </c>
      <c r="N18" t="inlineStr">
        <is>
          <t>Jill.marjorie@yahoo.com</t>
        </is>
      </c>
      <c r="O18" t="inlineStr"/>
      <c r="P18" t="inlineStr"/>
      <c r="Q18" t="inlineStr"/>
      <c r="R18" t="inlineStr"/>
      <c r="S18" t="inlineStr"/>
      <c r="T18" t="inlineStr"/>
      <c r="U18" t="inlineStr"/>
      <c r="V18">
        <f>HYPERLINK("https://chmeetings.blob.core.windows.net/846969/attachments/O0vulBN2fEWjf0Xb50kUBg/56df1b2d-2da3-4c47-b78a-9a3753b58c1f.jpg", "https://chmeetings.blob.core.windows.net/846969/attachments/O0vulBN2fEWjf0Xb50kUBg/56df1b2d-2da3-4c47-b78a-9a3753b58c1f.jpg")</f>
        <v/>
      </c>
      <c r="W18" t="inlineStr">
        <is>
          <t>2026-05-02 20:04:47</t>
        </is>
      </c>
    </row>
    <row r="19">
      <c r="A19" t="inlineStr">
        <is>
          <t>GAC</t>
        </is>
      </c>
      <c r="B19" t="inlineStr">
        <is>
          <t>3610916</t>
        </is>
      </c>
      <c r="C19" t="inlineStr">
        <is>
          <t>Dung</t>
        </is>
      </c>
      <c r="D19" t="inlineStr">
        <is>
          <t>Nguyen</t>
        </is>
      </c>
      <c r="E19" t="inlineStr">
        <is>
          <t>Yes</t>
        </is>
      </c>
      <c r="F19" t="inlineStr">
        <is>
          <t>Yes</t>
        </is>
      </c>
      <c r="G19" t="inlineStr">
        <is>
          <t>106</t>
        </is>
      </c>
      <c r="H19" t="inlineStr">
        <is>
          <t>validated</t>
        </is>
      </c>
      <c r="I19" t="n">
        <v>0</v>
      </c>
      <c r="J19" t="inlineStr">
        <is>
          <t>Male</t>
        </is>
      </c>
      <c r="K19" t="inlineStr">
        <is>
          <t>1992-05-05</t>
        </is>
      </c>
      <c r="L19" t="n">
        <v>34</v>
      </c>
      <c r="M19" t="inlineStr">
        <is>
          <t>(408) 816-9773</t>
        </is>
      </c>
      <c r="N19" t="inlineStr">
        <is>
          <t>Adn@duck.com</t>
        </is>
      </c>
      <c r="O19" t="inlineStr"/>
      <c r="P19" t="inlineStr"/>
      <c r="Q19" t="inlineStr"/>
      <c r="R19" t="inlineStr"/>
      <c r="S19" t="inlineStr"/>
      <c r="T19" t="inlineStr"/>
      <c r="U19" t="inlineStr"/>
      <c r="V19">
        <f>HYPERLINK("https://chmeetings.blob.core.windows.net/846969/attachments/R2ULqwBOzEcfjGBlZ6NOg/e7732b7a-5531-4a12-957e-aaf157b04b52.jpg", "https://chmeetings.blob.core.windows.net/846969/attachments/R2ULqwBOzEcfjGBlZ6NOg/e7732b7a-5531-4a12-957e-aaf157b04b52.jpg")</f>
        <v/>
      </c>
      <c r="W19" t="inlineStr">
        <is>
          <t>2026-05-03 04:39:17</t>
        </is>
      </c>
    </row>
    <row r="20">
      <c r="A20" t="inlineStr">
        <is>
          <t>GAC</t>
        </is>
      </c>
      <c r="B20" t="inlineStr">
        <is>
          <t>3606104</t>
        </is>
      </c>
      <c r="C20" t="inlineStr">
        <is>
          <t>Eric</t>
        </is>
      </c>
      <c r="D20" t="inlineStr">
        <is>
          <t>Nguyen</t>
        </is>
      </c>
      <c r="E20" t="inlineStr">
        <is>
          <t>Yes</t>
        </is>
      </c>
      <c r="F20" t="inlineStr">
        <is>
          <t>Yes</t>
        </is>
      </c>
      <c r="G20" t="inlineStr">
        <is>
          <t>50</t>
        </is>
      </c>
      <c r="H20" t="inlineStr">
        <is>
          <t>validated</t>
        </is>
      </c>
      <c r="I20" t="n">
        <v>0</v>
      </c>
      <c r="J20" t="inlineStr">
        <is>
          <t>Male</t>
        </is>
      </c>
      <c r="K20" t="inlineStr">
        <is>
          <t>1984-07-08</t>
        </is>
      </c>
      <c r="L20" t="n">
        <v>42</v>
      </c>
      <c r="M20" t="inlineStr">
        <is>
          <t>(562) 728-3782</t>
        </is>
      </c>
      <c r="N20" t="inlineStr">
        <is>
          <t>eric.t.nguyen@gmail.com</t>
        </is>
      </c>
      <c r="O20" t="inlineStr"/>
      <c r="P20" t="inlineStr"/>
      <c r="Q20" t="inlineStr"/>
      <c r="R20" t="inlineStr"/>
      <c r="S20" t="inlineStr"/>
      <c r="T20" t="inlineStr"/>
      <c r="U20" t="inlineStr"/>
      <c r="V20">
        <f>HYPERLINK("https://chmeetings.blob.core.windows.net/846969/attachments/KN60GvBKJ0qRFQGEtYPMA/f0b82a94-8de5-49f2-bf74-75300a92c050.jpg", "https://chmeetings.blob.core.windows.net/846969/attachments/KN60GvBKJ0qRFQGEtYPMA/f0b82a94-8de5-49f2-bf74-75300a92c050.jpg")</f>
        <v/>
      </c>
      <c r="W20" t="inlineStr">
        <is>
          <t>2026-05-02 20:15:13</t>
        </is>
      </c>
    </row>
    <row r="21">
      <c r="A21" t="inlineStr">
        <is>
          <t>GAC</t>
        </is>
      </c>
      <c r="B21" t="inlineStr">
        <is>
          <t>3618805</t>
        </is>
      </c>
      <c r="C21" t="inlineStr">
        <is>
          <t>Michael</t>
        </is>
      </c>
      <c r="D21" t="inlineStr">
        <is>
          <t>Nguyen</t>
        </is>
      </c>
      <c r="E21" t="inlineStr">
        <is>
          <t>Yes</t>
        </is>
      </c>
      <c r="F21" t="inlineStr">
        <is>
          <t>Yes</t>
        </is>
      </c>
      <c r="G21" t="inlineStr">
        <is>
          <t>58</t>
        </is>
      </c>
      <c r="H21" t="inlineStr">
        <is>
          <t>validated</t>
        </is>
      </c>
      <c r="I21" t="n">
        <v>0</v>
      </c>
      <c r="J21" t="inlineStr">
        <is>
          <t>Male</t>
        </is>
      </c>
      <c r="K21" t="inlineStr">
        <is>
          <t>2002-11-04</t>
        </is>
      </c>
      <c r="L21" t="n">
        <v>23</v>
      </c>
      <c r="M21" t="inlineStr">
        <is>
          <t>(408) 609-6205</t>
        </is>
      </c>
      <c r="N21" t="inlineStr">
        <is>
          <t>michaelthonguyen@gmail.com</t>
        </is>
      </c>
      <c r="O21" t="inlineStr"/>
      <c r="P21" t="inlineStr"/>
      <c r="Q21" t="inlineStr"/>
      <c r="R21" t="inlineStr"/>
      <c r="S21" t="inlineStr"/>
      <c r="T21" t="inlineStr"/>
      <c r="U21" t="inlineStr"/>
      <c r="V21">
        <f>HYPERLINK("https://chmeetings.blob.core.windows.net/846969/attachments/LTROBmGRkCWpy8F2k5MTw/da39bbfc-1e59-4f38-adaf-49a6ca09829b.jpg", "https://chmeetings.blob.core.windows.net/846969/attachments/LTROBmGRkCWpy8F2k5MTw/da39bbfc-1e59-4f38-adaf-49a6ca09829b.jpg")</f>
        <v/>
      </c>
      <c r="W21" t="inlineStr">
        <is>
          <t>2026-05-02 20:15:57</t>
        </is>
      </c>
    </row>
    <row r="22">
      <c r="A22" t="inlineStr">
        <is>
          <t>GAC</t>
        </is>
      </c>
      <c r="B22" t="inlineStr">
        <is>
          <t>4363695</t>
        </is>
      </c>
      <c r="C22" t="inlineStr">
        <is>
          <t>Thinh</t>
        </is>
      </c>
      <c r="D22" t="inlineStr">
        <is>
          <t>Nguyen</t>
        </is>
      </c>
      <c r="E22" t="inlineStr">
        <is>
          <t>Yes</t>
        </is>
      </c>
      <c r="F22" t="inlineStr">
        <is>
          <t>Yes</t>
        </is>
      </c>
      <c r="G22" t="inlineStr">
        <is>
          <t>112</t>
        </is>
      </c>
      <c r="H22" t="inlineStr">
        <is>
          <t>validated</t>
        </is>
      </c>
      <c r="I22" t="n">
        <v>0</v>
      </c>
      <c r="J22" t="inlineStr">
        <is>
          <t>Male</t>
        </is>
      </c>
      <c r="K22" t="inlineStr">
        <is>
          <t>2002-01-23</t>
        </is>
      </c>
      <c r="L22" t="n">
        <v>24</v>
      </c>
      <c r="M22" t="inlineStr">
        <is>
          <t>(206) 581-7487</t>
        </is>
      </c>
      <c r="N22" t="inlineStr">
        <is>
          <t>mthinhngn@gmail.com</t>
        </is>
      </c>
      <c r="O22" t="inlineStr"/>
      <c r="P22" t="inlineStr"/>
      <c r="Q22" t="inlineStr"/>
      <c r="R22" t="inlineStr"/>
      <c r="S22" t="inlineStr"/>
      <c r="T22" t="inlineStr"/>
      <c r="U22" t="inlineStr"/>
      <c r="V22">
        <f>HYPERLINK("https://chmeetings.blob.core.windows.net/846969/attachments/BINhgC34TECifThOttOVlQ/04fe1f84-53cd-41d0-a989-73440f1470ff.jpg", "https://chmeetings.blob.core.windows.net/846969/attachments/BINhgC34TECifThOttOVlQ/04fe1f84-53cd-41d0-a989-73440f1470ff.jpg")</f>
        <v/>
      </c>
      <c r="W22" t="inlineStr">
        <is>
          <t>2026-05-03 21:59:14</t>
        </is>
      </c>
    </row>
    <row r="23">
      <c r="A23" t="inlineStr">
        <is>
          <t>GAC</t>
        </is>
      </c>
      <c r="B23" t="inlineStr">
        <is>
          <t>3624650</t>
        </is>
      </c>
      <c r="C23" t="inlineStr">
        <is>
          <t>Tiffany</t>
        </is>
      </c>
      <c r="D23" t="inlineStr">
        <is>
          <t>Nguyen</t>
        </is>
      </c>
      <c r="E23" t="inlineStr">
        <is>
          <t>Yes</t>
        </is>
      </c>
      <c r="F23" t="inlineStr">
        <is>
          <t>Yes</t>
        </is>
      </c>
      <c r="G23" t="inlineStr">
        <is>
          <t>113</t>
        </is>
      </c>
      <c r="H23" t="inlineStr">
        <is>
          <t>validated</t>
        </is>
      </c>
      <c r="I23" t="n">
        <v>0</v>
      </c>
      <c r="J23" t="inlineStr">
        <is>
          <t>Female</t>
        </is>
      </c>
      <c r="K23" t="inlineStr">
        <is>
          <t>2005-02-22</t>
        </is>
      </c>
      <c r="L23" t="n">
        <v>21</v>
      </c>
      <c r="M23" t="inlineStr">
        <is>
          <t>(669) 215-5720</t>
        </is>
      </c>
      <c r="N23" t="inlineStr">
        <is>
          <t>tiffanyashlyn@gmail.com</t>
        </is>
      </c>
      <c r="O23" t="inlineStr"/>
      <c r="P23" t="inlineStr"/>
      <c r="Q23" t="inlineStr"/>
      <c r="R23" t="inlineStr"/>
      <c r="S23" t="inlineStr"/>
      <c r="T23" t="inlineStr"/>
      <c r="U23" t="inlineStr"/>
      <c r="V23">
        <f>HYPERLINK("https://chmeetings.blob.core.windows.net/846969/attachments/WE2MhiU60KpfrwsRDOWw/80708536-016c-42fa-95f4-079cf3a43697.jpg", "https://chmeetings.blob.core.windows.net/846969/attachments/WE2MhiU60KpfrwsRDOWw/80708536-016c-42fa-95f4-079cf3a43697.jpg")</f>
        <v/>
      </c>
      <c r="W23" t="inlineStr">
        <is>
          <t>2026-05-03 22:01:17</t>
        </is>
      </c>
    </row>
    <row r="24">
      <c r="A24" t="inlineStr">
        <is>
          <t>GAC</t>
        </is>
      </c>
      <c r="B24" t="inlineStr">
        <is>
          <t>4362356</t>
        </is>
      </c>
      <c r="C24" t="inlineStr">
        <is>
          <t>Truc Nhi</t>
        </is>
      </c>
      <c r="D24" t="inlineStr">
        <is>
          <t>Nguyen</t>
        </is>
      </c>
      <c r="E24" t="inlineStr">
        <is>
          <t>Yes</t>
        </is>
      </c>
      <c r="F24" t="inlineStr">
        <is>
          <t>Yes</t>
        </is>
      </c>
      <c r="G24" t="inlineStr">
        <is>
          <t>115</t>
        </is>
      </c>
      <c r="H24" t="inlineStr">
        <is>
          <t>validated</t>
        </is>
      </c>
      <c r="I24" t="n">
        <v>0</v>
      </c>
      <c r="J24" t="inlineStr">
        <is>
          <t>Female</t>
        </is>
      </c>
      <c r="K24" t="inlineStr">
        <is>
          <t>1991-11-03</t>
        </is>
      </c>
      <c r="L24" t="n">
        <v>34</v>
      </c>
      <c r="M24" t="inlineStr">
        <is>
          <t>(408) 442-7876</t>
        </is>
      </c>
      <c r="N24" t="inlineStr">
        <is>
          <t>email.truc.nguyen@gmail.com</t>
        </is>
      </c>
      <c r="O24" t="inlineStr"/>
      <c r="P24" t="inlineStr"/>
      <c r="Q24" t="inlineStr"/>
      <c r="R24" t="inlineStr"/>
      <c r="S24" t="inlineStr"/>
      <c r="T24" t="inlineStr"/>
      <c r="U24" t="inlineStr"/>
      <c r="V24">
        <f>HYPERLINK("https://chmeetings.blob.core.windows.net/846969/attachments/b2wuZtU20k6fS0QeesnJyQ/59603b15-0eb7-4a31-a342-a678670261a5.jpg", "https://chmeetings.blob.core.windows.net/846969/attachments/b2wuZtU20k6fS0QeesnJyQ/59603b15-0eb7-4a31-a342-a678670261a5.jpg")</f>
        <v/>
      </c>
      <c r="W24" t="inlineStr">
        <is>
          <t>2026-05-03 04:39:31</t>
        </is>
      </c>
    </row>
    <row r="25">
      <c r="A25" t="inlineStr">
        <is>
          <t>GAC</t>
        </is>
      </c>
      <c r="B25" t="inlineStr">
        <is>
          <t>3636819</t>
        </is>
      </c>
      <c r="C25" t="inlineStr">
        <is>
          <t>Jeremy</t>
        </is>
      </c>
      <c r="D25" t="inlineStr">
        <is>
          <t>OConnor</t>
        </is>
      </c>
      <c r="E25" t="inlineStr">
        <is>
          <t>Yes</t>
        </is>
      </c>
      <c r="F25" t="inlineStr">
        <is>
          <t>Yes</t>
        </is>
      </c>
      <c r="G25" t="inlineStr">
        <is>
          <t>53</t>
        </is>
      </c>
      <c r="H25" t="inlineStr">
        <is>
          <t>validated</t>
        </is>
      </c>
      <c r="I25" t="n">
        <v>0</v>
      </c>
      <c r="J25" t="inlineStr">
        <is>
          <t>Male</t>
        </is>
      </c>
      <c r="K25" t="inlineStr">
        <is>
          <t>1997-12-18</t>
        </is>
      </c>
      <c r="L25" t="n">
        <v>28</v>
      </c>
      <c r="M25" t="inlineStr">
        <is>
          <t>(408) 728-2130</t>
        </is>
      </c>
      <c r="N25" t="inlineStr">
        <is>
          <t>jeremyoc241@gmail.com</t>
        </is>
      </c>
      <c r="O25" t="inlineStr"/>
      <c r="P25" t="inlineStr"/>
      <c r="Q25" t="inlineStr"/>
      <c r="R25" t="inlineStr"/>
      <c r="S25" t="inlineStr"/>
      <c r="T25" t="inlineStr"/>
      <c r="U25" t="inlineStr"/>
      <c r="V25">
        <f>HYPERLINK("https://chmeetings.blob.core.windows.net/846969/attachments/2EMW7UJtRk6APQ4qdfqDcA/cae1b6ba-c323-4927-8239-f131801812c4.jpg", "https://chmeetings.blob.core.windows.net/846969/attachments/2EMW7UJtRk6APQ4qdfqDcA/cae1b6ba-c323-4927-8239-f131801812c4.jpg")</f>
        <v/>
      </c>
      <c r="W25" t="inlineStr">
        <is>
          <t>2026-05-02 20:15:41</t>
        </is>
      </c>
    </row>
    <row r="26">
      <c r="A26" t="inlineStr">
        <is>
          <t>GAC</t>
        </is>
      </c>
      <c r="B26" t="inlineStr">
        <is>
          <t>3615958</t>
        </is>
      </c>
      <c r="C26" t="inlineStr">
        <is>
          <t>Jamie</t>
        </is>
      </c>
      <c r="D26" t="inlineStr">
        <is>
          <t>Sauveur</t>
        </is>
      </c>
      <c r="E26" t="inlineStr">
        <is>
          <t>Yes</t>
        </is>
      </c>
      <c r="F26" t="inlineStr">
        <is>
          <t>Yes</t>
        </is>
      </c>
      <c r="G26" t="inlineStr">
        <is>
          <t>107</t>
        </is>
      </c>
      <c r="H26" t="inlineStr">
        <is>
          <t>validated</t>
        </is>
      </c>
      <c r="I26" t="n">
        <v>0</v>
      </c>
      <c r="J26" t="inlineStr">
        <is>
          <t>Male</t>
        </is>
      </c>
      <c r="K26" t="inlineStr">
        <is>
          <t>1997-06-25</t>
        </is>
      </c>
      <c r="L26" t="n">
        <v>29</v>
      </c>
      <c r="M26" t="inlineStr">
        <is>
          <t>(408) 605-7288</t>
        </is>
      </c>
      <c r="N26" t="inlineStr">
        <is>
          <t>jamieboy97@gmail.com</t>
        </is>
      </c>
      <c r="O26" t="inlineStr"/>
      <c r="P26" t="inlineStr"/>
      <c r="Q26" t="inlineStr"/>
      <c r="R26" t="inlineStr"/>
      <c r="S26" t="inlineStr"/>
      <c r="T26" t="inlineStr"/>
      <c r="U26" t="inlineStr"/>
      <c r="V26">
        <f>HYPERLINK("https://chmeetings.blob.core.windows.net/846969/attachments/qPojkJbp4kmvCBQqd9r3Hw/09507491-ec10-4228-9164-6ed0669cc6b3.jpg", "https://chmeetings.blob.core.windows.net/846969/attachments/qPojkJbp4kmvCBQqd9r3Hw/09507491-ec10-4228-9164-6ed0669cc6b3.jpg")</f>
        <v/>
      </c>
      <c r="W26" t="inlineStr">
        <is>
          <t>2026-05-03 04:38:34</t>
        </is>
      </c>
    </row>
    <row r="27">
      <c r="A27" t="inlineStr">
        <is>
          <t>GAC</t>
        </is>
      </c>
      <c r="B27" t="inlineStr">
        <is>
          <t>3615948</t>
        </is>
      </c>
      <c r="C27" t="inlineStr">
        <is>
          <t>Anthony</t>
        </is>
      </c>
      <c r="D27" t="inlineStr">
        <is>
          <t>Ta</t>
        </is>
      </c>
      <c r="E27" t="inlineStr">
        <is>
          <t>Yes</t>
        </is>
      </c>
      <c r="F27" t="inlineStr">
        <is>
          <t>Yes</t>
        </is>
      </c>
      <c r="G27" t="inlineStr">
        <is>
          <t>46</t>
        </is>
      </c>
      <c r="H27" t="inlineStr">
        <is>
          <t>validated</t>
        </is>
      </c>
      <c r="I27" t="n">
        <v>0</v>
      </c>
      <c r="J27" t="inlineStr">
        <is>
          <t>Male</t>
        </is>
      </c>
      <c r="K27" t="inlineStr">
        <is>
          <t>2000-07-24</t>
        </is>
      </c>
      <c r="L27" t="n">
        <v>25</v>
      </c>
      <c r="M27" t="inlineStr">
        <is>
          <t>(408) 551-8190</t>
        </is>
      </c>
      <c r="N27" t="inlineStr">
        <is>
          <t>anthonyta502@gmail.com</t>
        </is>
      </c>
      <c r="O27" t="inlineStr"/>
      <c r="P27" t="inlineStr"/>
      <c r="Q27" t="inlineStr"/>
      <c r="R27" t="inlineStr"/>
      <c r="S27" t="inlineStr"/>
      <c r="T27" t="inlineStr"/>
      <c r="U27" t="inlineStr"/>
      <c r="V27">
        <f>HYPERLINK("https://chmeetings.blob.core.windows.net/846969/attachments/jl2i4eVeYECLBJcTyk7tA/55b9f204-7df3-4ccf-ba35-08d5400d946c.jpg", "https://chmeetings.blob.core.windows.net/846969/attachments/jl2i4eVeYECLBJcTyk7tA/55b9f204-7df3-4ccf-ba35-08d5400d946c.jpg")</f>
        <v/>
      </c>
      <c r="W27" t="inlineStr">
        <is>
          <t>2026-05-03 23:02:17</t>
        </is>
      </c>
    </row>
    <row r="28">
      <c r="A28" t="inlineStr">
        <is>
          <t>GAC</t>
        </is>
      </c>
      <c r="B28" t="inlineStr">
        <is>
          <t>4363702</t>
        </is>
      </c>
      <c r="C28" t="inlineStr">
        <is>
          <t>Timothy</t>
        </is>
      </c>
      <c r="D28" t="inlineStr">
        <is>
          <t>Tran</t>
        </is>
      </c>
      <c r="E28" t="inlineStr">
        <is>
          <t>Yes</t>
        </is>
      </c>
      <c r="F28" t="inlineStr">
        <is>
          <t>Yes</t>
        </is>
      </c>
      <c r="G28" t="inlineStr">
        <is>
          <t>114</t>
        </is>
      </c>
      <c r="H28" t="inlineStr">
        <is>
          <t>validated</t>
        </is>
      </c>
      <c r="I28" t="n">
        <v>0</v>
      </c>
      <c r="J28" t="inlineStr">
        <is>
          <t>Male</t>
        </is>
      </c>
      <c r="K28" t="inlineStr">
        <is>
          <t>1970-02-22</t>
        </is>
      </c>
      <c r="L28" t="n">
        <v>56</v>
      </c>
      <c r="M28" t="inlineStr">
        <is>
          <t>(408) 568-7264</t>
        </is>
      </c>
      <c r="N28" t="inlineStr">
        <is>
          <t>timltran2003@yahoo.com</t>
        </is>
      </c>
      <c r="O28" t="inlineStr"/>
      <c r="P28" t="inlineStr"/>
      <c r="Q28" t="inlineStr"/>
      <c r="R28" t="inlineStr"/>
      <c r="S28" t="inlineStr"/>
      <c r="T28" t="inlineStr"/>
      <c r="U28" t="inlineStr"/>
      <c r="V28">
        <f>HYPERLINK("https://chmeetings.blob.core.windows.net/846969/attachments/ROHoX9AhkqcJQzXnKNrQ/9b3a9902-9865-411f-8560-68da85fa6eaf.jpg", "https://chmeetings.blob.core.windows.net/846969/attachments/ROHoX9AhkqcJQzXnKNrQ/9b3a9902-9865-411f-8560-68da85fa6eaf.jpg")</f>
        <v/>
      </c>
      <c r="W28" t="inlineStr">
        <is>
          <t>2026-05-03 22:04:01</t>
        </is>
      </c>
    </row>
    <row r="29">
      <c r="A29" t="inlineStr">
        <is>
          <t>GAC</t>
        </is>
      </c>
      <c r="B29" t="inlineStr">
        <is>
          <t>3476612</t>
        </is>
      </c>
      <c r="C29" t="inlineStr">
        <is>
          <t>Vivian</t>
        </is>
      </c>
      <c r="D29" t="inlineStr">
        <is>
          <t>Tran</t>
        </is>
      </c>
      <c r="E29" t="inlineStr">
        <is>
          <t>Yes</t>
        </is>
      </c>
      <c r="F29" t="inlineStr">
        <is>
          <t>Yes</t>
        </is>
      </c>
      <c r="G29" t="inlineStr">
        <is>
          <t>116</t>
        </is>
      </c>
      <c r="H29" t="inlineStr">
        <is>
          <t>validated</t>
        </is>
      </c>
      <c r="I29" t="n">
        <v>0</v>
      </c>
      <c r="J29" t="inlineStr">
        <is>
          <t>Female</t>
        </is>
      </c>
      <c r="K29" t="inlineStr">
        <is>
          <t>2002-11-27</t>
        </is>
      </c>
      <c r="L29" t="n">
        <v>23</v>
      </c>
      <c r="M29" t="inlineStr">
        <is>
          <t>(916) 272-5979</t>
        </is>
      </c>
      <c r="N29" t="inlineStr">
        <is>
          <t>Viviantrvnn@gmail.com</t>
        </is>
      </c>
      <c r="O29" t="inlineStr"/>
      <c r="P29" t="inlineStr"/>
      <c r="Q29" t="inlineStr"/>
      <c r="R29" t="inlineStr"/>
      <c r="S29" t="inlineStr"/>
      <c r="T29" t="inlineStr"/>
      <c r="U29" t="inlineStr"/>
      <c r="V29">
        <f>HYPERLINK("https://chmeetings.blob.core.windows.net/846969/attachments/Yp0fusxU7UaOh8VIZqAdA/caa141b9-5524-474e-80b6-679f3fc1d845.jpg", "https://chmeetings.blob.core.windows.net/846969/attachments/Yp0fusxU7UaOh8VIZqAdA/caa141b9-5524-474e-80b6-679f3fc1d845.jpg")</f>
        <v/>
      </c>
      <c r="W29" t="inlineStr">
        <is>
          <t>2026-05-03 04:38:09</t>
        </is>
      </c>
    </row>
    <row r="30">
      <c r="A30" t="inlineStr">
        <is>
          <t>GAC</t>
        </is>
      </c>
      <c r="B30" t="inlineStr">
        <is>
          <t>3610920</t>
        </is>
      </c>
      <c r="C30" t="inlineStr">
        <is>
          <t>Aly</t>
        </is>
      </c>
      <c r="D30" t="inlineStr">
        <is>
          <t>Vo</t>
        </is>
      </c>
      <c r="E30" t="inlineStr">
        <is>
          <t>Yes</t>
        </is>
      </c>
      <c r="F30" t="inlineStr">
        <is>
          <t>Yes</t>
        </is>
      </c>
      <c r="G30" t="inlineStr">
        <is>
          <t>45</t>
        </is>
      </c>
      <c r="H30" t="inlineStr">
        <is>
          <t>validated</t>
        </is>
      </c>
      <c r="I30" t="n">
        <v>0</v>
      </c>
      <c r="J30" t="inlineStr">
        <is>
          <t>Female</t>
        </is>
      </c>
      <c r="K30" t="inlineStr">
        <is>
          <t>2008-01-29</t>
        </is>
      </c>
      <c r="L30" t="n">
        <v>18</v>
      </c>
      <c r="M30" t="inlineStr">
        <is>
          <t>(341) 227-8343</t>
        </is>
      </c>
      <c r="N30" t="inlineStr">
        <is>
          <t>Aly.vo29@gmail.com</t>
        </is>
      </c>
      <c r="O30" t="inlineStr"/>
      <c r="P30" t="inlineStr"/>
      <c r="Q30" t="inlineStr"/>
      <c r="R30" t="inlineStr"/>
      <c r="S30" t="inlineStr"/>
      <c r="T30" t="inlineStr"/>
      <c r="U30" t="inlineStr"/>
      <c r="V30">
        <f>HYPERLINK("https://chmeetings.blob.core.windows.net/846969/attachments/OyWbdJyT5EixPoP3spOyLg/80becd09-3898-4d0b-a5a3-71310f9d20d4.jpg", "https://chmeetings.blob.core.windows.net/846969/attachments/OyWbdJyT5EixPoP3spOyLg/80becd09-3898-4d0b-a5a3-71310f9d20d4.jpg")</f>
        <v/>
      </c>
      <c r="W30" t="inlineStr">
        <is>
          <t>2026-05-02 20:17:10</t>
        </is>
      </c>
    </row>
    <row r="31">
      <c r="A31" t="inlineStr">
        <is>
          <t>GAC</t>
        </is>
      </c>
      <c r="B31" t="inlineStr">
        <is>
          <t>3610917</t>
        </is>
      </c>
      <c r="C31" t="inlineStr">
        <is>
          <t>Kayla</t>
        </is>
      </c>
      <c r="D31" t="inlineStr">
        <is>
          <t>Vo</t>
        </is>
      </c>
      <c r="E31" t="inlineStr">
        <is>
          <t>Yes</t>
        </is>
      </c>
      <c r="F31" t="inlineStr">
        <is>
          <t>Yes</t>
        </is>
      </c>
      <c r="G31" t="inlineStr">
        <is>
          <t>56</t>
        </is>
      </c>
      <c r="H31" t="inlineStr">
        <is>
          <t>validated</t>
        </is>
      </c>
      <c r="I31" t="n">
        <v>0</v>
      </c>
      <c r="J31" t="inlineStr">
        <is>
          <t>Female</t>
        </is>
      </c>
      <c r="K31" t="inlineStr">
        <is>
          <t>2006-09-02</t>
        </is>
      </c>
      <c r="L31" t="n">
        <v>19</v>
      </c>
      <c r="M31" t="inlineStr">
        <is>
          <t>(510) 774-2614</t>
        </is>
      </c>
      <c r="N31" t="inlineStr">
        <is>
          <t>kaimyvo@gmail.com</t>
        </is>
      </c>
      <c r="O31" t="inlineStr"/>
      <c r="P31" t="inlineStr"/>
      <c r="Q31" t="inlineStr"/>
      <c r="R31" t="inlineStr"/>
      <c r="S31" t="inlineStr"/>
      <c r="T31" t="inlineStr"/>
      <c r="U31" t="inlineStr"/>
      <c r="V31">
        <f>HYPERLINK("https://chmeetings.blob.core.windows.net/846969/attachments/dbPn6hwRbUmuEMeKWTNWxg/56cb0979-8b71-4c8e-9f5b-db9d018e400f.jpg", "https://chmeetings.blob.core.windows.net/846969/attachments/dbPn6hwRbUmuEMeKWTNWxg/56cb0979-8b71-4c8e-9f5b-db9d018e400f.jpg")</f>
        <v/>
      </c>
      <c r="W31" t="inlineStr">
        <is>
          <t>2026-05-02 19:59:03</t>
        </is>
      </c>
    </row>
    <row r="32">
      <c r="A32" t="inlineStr">
        <is>
          <t>GAC</t>
        </is>
      </c>
      <c r="B32" t="inlineStr">
        <is>
          <t>3615953</t>
        </is>
      </c>
      <c r="C32" t="inlineStr">
        <is>
          <t>Bethany</t>
        </is>
      </c>
      <c r="D32" t="inlineStr">
        <is>
          <t>Dang</t>
        </is>
      </c>
      <c r="E32" t="inlineStr">
        <is>
          <t>No</t>
        </is>
      </c>
      <c r="F32" t="inlineStr">
        <is>
          <t>Yes</t>
        </is>
      </c>
      <c r="G32" t="n">
        <v>0</v>
      </c>
      <c r="H32" t="inlineStr">
        <is>
          <t>N/A</t>
        </is>
      </c>
      <c r="I32" t="n">
        <v>0</v>
      </c>
      <c r="J32" t="inlineStr">
        <is>
          <t>Female</t>
        </is>
      </c>
      <c r="K32" t="inlineStr">
        <is>
          <t>2013-10-30</t>
        </is>
      </c>
      <c r="L32" t="n">
        <v>12</v>
      </c>
      <c r="M32" t="inlineStr">
        <is>
          <t>(925) 577-5310</t>
        </is>
      </c>
      <c r="N32" t="inlineStr">
        <is>
          <t>djdang0716@gmail.com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N/A</t>
        </is>
      </c>
      <c r="W32" t="inlineStr">
        <is>
          <t>2026-05-02 20:00:09</t>
        </is>
      </c>
    </row>
    <row r="33">
      <c r="A33" t="inlineStr">
        <is>
          <t>GAC</t>
        </is>
      </c>
      <c r="B33" t="inlineStr">
        <is>
          <t>3615952</t>
        </is>
      </c>
      <c r="C33" t="inlineStr">
        <is>
          <t>Jordan</t>
        </is>
      </c>
      <c r="D33" t="inlineStr">
        <is>
          <t>Dang</t>
        </is>
      </c>
      <c r="E33" t="inlineStr">
        <is>
          <t>No</t>
        </is>
      </c>
      <c r="F33" t="inlineStr">
        <is>
          <t>Yes</t>
        </is>
      </c>
      <c r="G33" t="n">
        <v>0</v>
      </c>
      <c r="H33" t="inlineStr">
        <is>
          <t>N/A</t>
        </is>
      </c>
      <c r="I33" t="n">
        <v>0</v>
      </c>
      <c r="J33" t="inlineStr">
        <is>
          <t>Male</t>
        </is>
      </c>
      <c r="K33" t="inlineStr">
        <is>
          <t>2013-03-17</t>
        </is>
      </c>
      <c r="L33" t="n">
        <v>13</v>
      </c>
      <c r="M33" t="inlineStr">
        <is>
          <t>(925) 577-5310</t>
        </is>
      </c>
      <c r="N33" t="inlineStr">
        <is>
          <t>djdang0716@gmail.com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N/A</t>
        </is>
      </c>
      <c r="W33" t="inlineStr">
        <is>
          <t>2026-05-02 19:59:58</t>
        </is>
      </c>
    </row>
  </sheetData>
  <autoFilter ref="A1:W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4.5" customWidth="1" min="7" max="7"/>
    <col width="6.5" customWidth="1" min="8" max="8"/>
    <col width="5" customWidth="1" min="9" max="9"/>
    <col width="9" customWidth="1" min="10" max="10"/>
    <col width="9" customWidth="1" min="11" max="11"/>
    <col width="10.5" customWidth="1" min="12" max="12"/>
    <col width="7" customWidth="1" min="13" max="13"/>
    <col width="8" customWidth="1" min="14" max="14"/>
    <col width="4" customWidth="1" min="15" max="15"/>
    <col width="7" customWidth="1" min="16" max="16"/>
    <col width="6.5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GAC</t>
        </is>
      </c>
      <c r="B2" t="inlineStr">
        <is>
          <t>3610916</t>
        </is>
      </c>
      <c r="C2" t="inlineStr">
        <is>
          <t>106</t>
        </is>
      </c>
      <c r="D2" t="inlineStr">
        <is>
          <t>validated</t>
        </is>
      </c>
      <c r="E2" t="b">
        <v>1</v>
      </c>
      <c r="F2">
        <f>IMAGE("https://chmeetings.blob.core.windows.net/846969/attachments/R2ULqwBOzEcfjGBlZ6NOg/e7732b7a-5531-4a12-957e-aaf157b04b52.jpg")</f>
        <v/>
      </c>
      <c r="G2" t="inlineStr">
        <is>
          <t>Dung</t>
        </is>
      </c>
      <c r="H2" t="inlineStr">
        <is>
          <t>Nguyen</t>
        </is>
      </c>
      <c r="I2" t="inlineStr">
        <is>
          <t>Male</t>
        </is>
      </c>
      <c r="J2" t="n">
        <v>34</v>
      </c>
      <c r="K2" t="inlineStr">
        <is>
          <t>(408) 816-9773</t>
        </is>
      </c>
      <c r="L2" t="inlineStr">
        <is>
          <t>Adn@duck.com</t>
        </is>
      </c>
      <c r="M2" t="inlineStr">
        <is>
          <t>Badminton</t>
        </is>
      </c>
      <c r="N2" t="inlineStr">
        <is>
          <t>Mixed</t>
        </is>
      </c>
      <c r="O2" t="inlineStr">
        <is>
          <t>Doubles</t>
        </is>
      </c>
      <c r="P2" t="inlineStr"/>
      <c r="Q2" t="inlineStr">
        <is>
          <t>Nhi Nguyen</t>
        </is>
      </c>
    </row>
    <row r="3">
      <c r="A3" t="inlineStr">
        <is>
          <t>GAC</t>
        </is>
      </c>
      <c r="B3" t="inlineStr">
        <is>
          <t>4362356</t>
        </is>
      </c>
      <c r="C3" t="inlineStr">
        <is>
          <t>115</t>
        </is>
      </c>
      <c r="D3" t="inlineStr">
        <is>
          <t>validated</t>
        </is>
      </c>
      <c r="E3" t="b">
        <v>1</v>
      </c>
      <c r="F3">
        <f>IMAGE("https://chmeetings.blob.core.windows.net/846969/attachments/b2wuZtU20k6fS0QeesnJyQ/59603b15-0eb7-4a31-a342-a678670261a5.jpg")</f>
        <v/>
      </c>
      <c r="G3" t="inlineStr">
        <is>
          <t>Truc Nhi</t>
        </is>
      </c>
      <c r="H3" t="inlineStr">
        <is>
          <t>Nguyen</t>
        </is>
      </c>
      <c r="I3" t="inlineStr">
        <is>
          <t>Female</t>
        </is>
      </c>
      <c r="J3" t="n">
        <v>34</v>
      </c>
      <c r="K3" t="inlineStr">
        <is>
          <t>(408) 442-7876</t>
        </is>
      </c>
      <c r="L3" t="inlineStr">
        <is>
          <t>email.truc.nguyen@gmail.com</t>
        </is>
      </c>
      <c r="M3" t="inlineStr">
        <is>
          <t>Badminton</t>
        </is>
      </c>
      <c r="N3" t="inlineStr">
        <is>
          <t>Mixed</t>
        </is>
      </c>
      <c r="O3" t="inlineStr">
        <is>
          <t>Doubles</t>
        </is>
      </c>
      <c r="P3" t="inlineStr"/>
      <c r="Q3" t="inlineStr">
        <is>
          <t>Dung Nguyen</t>
        </is>
      </c>
    </row>
    <row r="4">
      <c r="A4" t="inlineStr">
        <is>
          <t>GAC</t>
        </is>
      </c>
      <c r="B4" t="inlineStr">
        <is>
          <t>3615957</t>
        </is>
      </c>
      <c r="C4" t="inlineStr">
        <is>
          <t>110</t>
        </is>
      </c>
      <c r="D4" t="inlineStr">
        <is>
          <t>validated</t>
        </is>
      </c>
      <c r="E4" t="b">
        <v>1</v>
      </c>
      <c r="F4">
        <f>IMAGE("https://chmeetings.blob.core.windows.net/846969/attachments/Kdpjhjg39UmtS12V5Nbyyg/bbe6199a-c907-413d-b103-9e4128d54753.jpg")</f>
        <v/>
      </c>
      <c r="G4" t="inlineStr">
        <is>
          <t>Minhthu</t>
        </is>
      </c>
      <c r="H4" t="inlineStr">
        <is>
          <t>Bui</t>
        </is>
      </c>
      <c r="I4" t="inlineStr">
        <is>
          <t>Female</t>
        </is>
      </c>
      <c r="J4" t="n">
        <v>34</v>
      </c>
      <c r="K4" t="inlineStr">
        <is>
          <t>(714) 548-5798</t>
        </is>
      </c>
      <c r="L4" t="inlineStr">
        <is>
          <t>Mtbui03@gmail.com</t>
        </is>
      </c>
      <c r="M4" t="inlineStr">
        <is>
          <t>Badminton</t>
        </is>
      </c>
      <c r="N4" t="inlineStr">
        <is>
          <t>Women</t>
        </is>
      </c>
      <c r="O4" t="inlineStr">
        <is>
          <t>Doubles</t>
        </is>
      </c>
      <c r="P4" t="inlineStr"/>
      <c r="Q4" t="inlineStr">
        <is>
          <t>Nhi Nguyen</t>
        </is>
      </c>
    </row>
    <row r="5">
      <c r="A5" t="inlineStr">
        <is>
          <t>GAC</t>
        </is>
      </c>
      <c r="B5" t="inlineStr">
        <is>
          <t>4362356</t>
        </is>
      </c>
      <c r="C5" t="inlineStr">
        <is>
          <t>115</t>
        </is>
      </c>
      <c r="D5" t="inlineStr">
        <is>
          <t>validated</t>
        </is>
      </c>
      <c r="E5" t="b">
        <v>1</v>
      </c>
      <c r="F5">
        <f>IMAGE("https://chmeetings.blob.core.windows.net/846969/attachments/b2wuZtU20k6fS0QeesnJyQ/59603b15-0eb7-4a31-a342-a678670261a5.jpg")</f>
        <v/>
      </c>
      <c r="G5" t="inlineStr">
        <is>
          <t>Truc Nhi</t>
        </is>
      </c>
      <c r="H5" t="inlineStr">
        <is>
          <t>Nguyen</t>
        </is>
      </c>
      <c r="I5" t="inlineStr">
        <is>
          <t>Female</t>
        </is>
      </c>
      <c r="J5" t="n">
        <v>34</v>
      </c>
      <c r="K5" t="inlineStr">
        <is>
          <t>(408) 442-7876</t>
        </is>
      </c>
      <c r="L5" t="inlineStr">
        <is>
          <t>email.truc.nguyen@gmail.com</t>
        </is>
      </c>
      <c r="M5" t="inlineStr">
        <is>
          <t>Badminton</t>
        </is>
      </c>
      <c r="N5" t="inlineStr">
        <is>
          <t>Women</t>
        </is>
      </c>
      <c r="O5" t="inlineStr">
        <is>
          <t>Doubles</t>
        </is>
      </c>
      <c r="P5" t="inlineStr"/>
      <c r="Q5" t="inlineStr">
        <is>
          <t>Minh Thu Bui</t>
        </is>
      </c>
    </row>
    <row r="6">
      <c r="A6" t="inlineStr">
        <is>
          <t>GAC</t>
        </is>
      </c>
      <c r="B6" t="inlineStr">
        <is>
          <t>3618803</t>
        </is>
      </c>
      <c r="C6" t="inlineStr">
        <is>
          <t>47</t>
        </is>
      </c>
      <c r="D6" t="inlineStr">
        <is>
          <t>validated</t>
        </is>
      </c>
      <c r="E6" t="b">
        <v>1</v>
      </c>
      <c r="F6">
        <f>IMAGE("https://chmeetings.blob.core.windows.net/846969/attachments/8RaR3P2EW0W4gXH4RYhbTA/5ceea1d8-d408-4951-80f1-990d0318e7f1.jpg")</f>
        <v/>
      </c>
      <c r="G6" t="inlineStr">
        <is>
          <t>Brendan</t>
        </is>
      </c>
      <c r="H6" t="inlineStr">
        <is>
          <t>Chau</t>
        </is>
      </c>
      <c r="I6" t="inlineStr">
        <is>
          <t>Male</t>
        </is>
      </c>
      <c r="J6" t="n">
        <v>28</v>
      </c>
      <c r="K6" t="inlineStr">
        <is>
          <t>(408) 781-6867</t>
        </is>
      </c>
      <c r="L6" t="inlineStr">
        <is>
          <t>bvanchau35@gmail.com</t>
        </is>
      </c>
      <c r="M6" t="inlineStr">
        <is>
          <t>Basketball</t>
        </is>
      </c>
      <c r="N6" t="inlineStr">
        <is>
          <t>Mixed</t>
        </is>
      </c>
      <c r="O6" t="inlineStr">
        <is>
          <t>Team</t>
        </is>
      </c>
      <c r="P6" t="inlineStr"/>
      <c r="Q6" t="inlineStr"/>
    </row>
    <row r="7">
      <c r="A7" t="inlineStr">
        <is>
          <t>GAC</t>
        </is>
      </c>
      <c r="B7" t="inlineStr">
        <is>
          <t>4361952</t>
        </is>
      </c>
      <c r="C7" t="inlineStr">
        <is>
          <t>57</t>
        </is>
      </c>
      <c r="D7" t="inlineStr">
        <is>
          <t>pending</t>
        </is>
      </c>
      <c r="E7" t="b">
        <v>1</v>
      </c>
      <c r="F7">
        <f>IMAGE("https://chmeetings.blob.core.windows.net/846969/attachments/Hjxi9RYULUCBzV5lFGI92Q/b0ae99dc-29e8-4902-8dad-c2ffe54bf1b2.jpg")</f>
        <v/>
      </c>
      <c r="G7" t="inlineStr">
        <is>
          <t>Michael</t>
        </is>
      </c>
      <c r="H7" t="inlineStr">
        <is>
          <t>Cisneros</t>
        </is>
      </c>
      <c r="I7" t="inlineStr">
        <is>
          <t>Male</t>
        </is>
      </c>
      <c r="J7" t="n">
        <v>16</v>
      </c>
      <c r="K7" t="inlineStr">
        <is>
          <t>(925) 826-9988</t>
        </is>
      </c>
      <c r="L7" t="inlineStr">
        <is>
          <t>michael.cisneros03@icloud.com</t>
        </is>
      </c>
      <c r="M7" t="inlineStr">
        <is>
          <t>Basketball</t>
        </is>
      </c>
      <c r="N7" t="inlineStr">
        <is>
          <t>Mixed</t>
        </is>
      </c>
      <c r="O7" t="inlineStr">
        <is>
          <t>Team</t>
        </is>
      </c>
      <c r="P7" t="inlineStr"/>
      <c r="Q7" t="inlineStr"/>
    </row>
    <row r="8">
      <c r="A8" t="inlineStr">
        <is>
          <t>GAC</t>
        </is>
      </c>
      <c r="B8" t="inlineStr">
        <is>
          <t>3616069</t>
        </is>
      </c>
      <c r="C8" t="inlineStr">
        <is>
          <t>48</t>
        </is>
      </c>
      <c r="D8" t="inlineStr">
        <is>
          <t>validated</t>
        </is>
      </c>
      <c r="E8" t="b">
        <v>1</v>
      </c>
      <c r="F8">
        <f>IMAGE("https://chmeetings.blob.core.windows.net/846969/attachments/O8QD4sgd0CUWG0wYocsQ/50c2d27b-96d9-4dc3-8835-56e05b828e31.jpg")</f>
        <v/>
      </c>
      <c r="G8" t="inlineStr">
        <is>
          <t>Brian</t>
        </is>
      </c>
      <c r="H8" t="inlineStr">
        <is>
          <t>Le</t>
        </is>
      </c>
      <c r="I8" t="inlineStr">
        <is>
          <t>Male</t>
        </is>
      </c>
      <c r="J8" t="n">
        <v>26</v>
      </c>
      <c r="K8" t="inlineStr">
        <is>
          <t>(669) 255-1182</t>
        </is>
      </c>
      <c r="L8" t="inlineStr">
        <is>
          <t>lebrian0708@gmail.com</t>
        </is>
      </c>
      <c r="M8" t="inlineStr">
        <is>
          <t>Basketball</t>
        </is>
      </c>
      <c r="N8" t="inlineStr">
        <is>
          <t>Mixed</t>
        </is>
      </c>
      <c r="O8" t="inlineStr">
        <is>
          <t>Team</t>
        </is>
      </c>
      <c r="P8" t="inlineStr"/>
      <c r="Q8" t="inlineStr"/>
    </row>
    <row r="9">
      <c r="A9" t="inlineStr">
        <is>
          <t>GAC</t>
        </is>
      </c>
      <c r="B9" t="inlineStr">
        <is>
          <t>3623145</t>
        </is>
      </c>
      <c r="C9" t="inlineStr">
        <is>
          <t>49</t>
        </is>
      </c>
      <c r="D9" t="inlineStr">
        <is>
          <t>pending</t>
        </is>
      </c>
      <c r="E9" t="b">
        <v>1</v>
      </c>
      <c r="F9">
        <f>IMAGE("https://chmeetings.blob.core.windows.net/846969/attachments/0thvFv8nzUSwHPFCj8rLmw/70d3cc8f-121f-41dd-afb3-47222f355027.jpg")</f>
        <v/>
      </c>
      <c r="G9" t="inlineStr">
        <is>
          <t>Elijah</t>
        </is>
      </c>
      <c r="H9" t="inlineStr">
        <is>
          <t>Nguyen</t>
        </is>
      </c>
      <c r="I9" t="inlineStr">
        <is>
          <t>Male</t>
        </is>
      </c>
      <c r="J9" t="n">
        <v>14</v>
      </c>
      <c r="K9" t="inlineStr">
        <is>
          <t>(408) 772-9825</t>
        </is>
      </c>
      <c r="L9" t="inlineStr">
        <is>
          <t>write2phuong2020@gmail.com</t>
        </is>
      </c>
      <c r="M9" t="inlineStr">
        <is>
          <t>Basketball</t>
        </is>
      </c>
      <c r="N9" t="inlineStr">
        <is>
          <t>Mixed</t>
        </is>
      </c>
      <c r="O9" t="inlineStr">
        <is>
          <t>Team</t>
        </is>
      </c>
      <c r="P9" t="inlineStr"/>
      <c r="Q9" t="inlineStr"/>
    </row>
    <row r="10">
      <c r="A10" t="inlineStr">
        <is>
          <t>GAC</t>
        </is>
      </c>
      <c r="B10" t="inlineStr">
        <is>
          <t>3618805</t>
        </is>
      </c>
      <c r="C10" t="inlineStr">
        <is>
          <t>58</t>
        </is>
      </c>
      <c r="D10" t="inlineStr">
        <is>
          <t>validated</t>
        </is>
      </c>
      <c r="E10" t="b">
        <v>1</v>
      </c>
      <c r="F10">
        <f>IMAGE("https://chmeetings.blob.core.windows.net/846969/attachments/LTROBmGRkCWpy8F2k5MTw/da39bbfc-1e59-4f38-adaf-49a6ca09829b.jpg")</f>
        <v/>
      </c>
      <c r="G10" t="inlineStr">
        <is>
          <t>Michael</t>
        </is>
      </c>
      <c r="H10" t="inlineStr">
        <is>
          <t>Nguyen</t>
        </is>
      </c>
      <c r="I10" t="inlineStr">
        <is>
          <t>Male</t>
        </is>
      </c>
      <c r="J10" t="n">
        <v>23</v>
      </c>
      <c r="K10" t="inlineStr">
        <is>
          <t>(408) 609-6205</t>
        </is>
      </c>
      <c r="L10" t="inlineStr">
        <is>
          <t>michaelthonguyen@gmail.com</t>
        </is>
      </c>
      <c r="M10" t="inlineStr">
        <is>
          <t>Basketball</t>
        </is>
      </c>
      <c r="N10" t="inlineStr">
        <is>
          <t>Mixed</t>
        </is>
      </c>
      <c r="O10" t="inlineStr">
        <is>
          <t>Team</t>
        </is>
      </c>
      <c r="P10" t="inlineStr"/>
      <c r="Q10" t="inlineStr"/>
    </row>
    <row r="11">
      <c r="A11" t="inlineStr">
        <is>
          <t>GAC</t>
        </is>
      </c>
      <c r="B11" t="inlineStr">
        <is>
          <t>3636819</t>
        </is>
      </c>
      <c r="C11" t="inlineStr">
        <is>
          <t>53</t>
        </is>
      </c>
      <c r="D11" t="inlineStr">
        <is>
          <t>validated</t>
        </is>
      </c>
      <c r="E11" t="b">
        <v>1</v>
      </c>
      <c r="F11">
        <f>IMAGE("https://chmeetings.blob.core.windows.net/846969/attachments/2EMW7UJtRk6APQ4qdfqDcA/cae1b6ba-c323-4927-8239-f131801812c4.jpg")</f>
        <v/>
      </c>
      <c r="G11" t="inlineStr">
        <is>
          <t>Jeremy</t>
        </is>
      </c>
      <c r="H11" t="inlineStr">
        <is>
          <t>OConnor</t>
        </is>
      </c>
      <c r="I11" t="inlineStr">
        <is>
          <t>Male</t>
        </is>
      </c>
      <c r="J11" t="n">
        <v>28</v>
      </c>
      <c r="K11" t="inlineStr">
        <is>
          <t>(408) 728-2130</t>
        </is>
      </c>
      <c r="L11" t="inlineStr">
        <is>
          <t>jeremyoc241@gmail.com</t>
        </is>
      </c>
      <c r="M11" t="inlineStr">
        <is>
          <t>Basketball</t>
        </is>
      </c>
      <c r="N11" t="inlineStr">
        <is>
          <t>Mixed</t>
        </is>
      </c>
      <c r="O11" t="inlineStr">
        <is>
          <t>Team</t>
        </is>
      </c>
      <c r="P11" t="inlineStr"/>
      <c r="Q11" t="inlineStr"/>
    </row>
    <row r="12">
      <c r="A12" t="inlineStr">
        <is>
          <t>GAC</t>
        </is>
      </c>
      <c r="B12" t="inlineStr">
        <is>
          <t>3615948</t>
        </is>
      </c>
      <c r="C12" t="inlineStr">
        <is>
          <t>46</t>
        </is>
      </c>
      <c r="D12" t="inlineStr">
        <is>
          <t>validated</t>
        </is>
      </c>
      <c r="E12" t="b">
        <v>1</v>
      </c>
      <c r="F12">
        <f>IMAGE("https://chmeetings.blob.core.windows.net/846969/attachments/jl2i4eVeYECLBJcTyk7tA/55b9f204-7df3-4ccf-ba35-08d5400d946c.jpg")</f>
        <v/>
      </c>
      <c r="G12" t="inlineStr">
        <is>
          <t>Anthony</t>
        </is>
      </c>
      <c r="H12" t="inlineStr">
        <is>
          <t>Ta</t>
        </is>
      </c>
      <c r="I12" t="inlineStr">
        <is>
          <t>Male</t>
        </is>
      </c>
      <c r="J12" t="n">
        <v>25</v>
      </c>
      <c r="K12" t="inlineStr">
        <is>
          <t>(408) 551-8190</t>
        </is>
      </c>
      <c r="L12" t="inlineStr">
        <is>
          <t>anthonyta502@gmail.com</t>
        </is>
      </c>
      <c r="M12" t="inlineStr">
        <is>
          <t>Basketball</t>
        </is>
      </c>
      <c r="N12" t="inlineStr">
        <is>
          <t>Mixed</t>
        </is>
      </c>
      <c r="O12" t="inlineStr">
        <is>
          <t>Team</t>
        </is>
      </c>
      <c r="P12" t="inlineStr"/>
      <c r="Q12" t="inlineStr"/>
    </row>
    <row r="13">
      <c r="A13" t="inlineStr">
        <is>
          <t>GAC</t>
        </is>
      </c>
      <c r="B13" t="inlineStr">
        <is>
          <t>3615957</t>
        </is>
      </c>
      <c r="C13" t="inlineStr">
        <is>
          <t>110</t>
        </is>
      </c>
      <c r="D13" t="inlineStr">
        <is>
          <t>validated</t>
        </is>
      </c>
      <c r="E13" t="b">
        <v>1</v>
      </c>
      <c r="F13">
        <f>IMAGE("https://chmeetings.blob.core.windows.net/846969/attachments/Kdpjhjg39UmtS12V5Nbyyg/bbe6199a-c907-413d-b103-9e4128d54753.jpg")</f>
        <v/>
      </c>
      <c r="G13" t="inlineStr">
        <is>
          <t>Minhthu</t>
        </is>
      </c>
      <c r="H13" t="inlineStr">
        <is>
          <t>Bui</t>
        </is>
      </c>
      <c r="I13" t="inlineStr">
        <is>
          <t>Female</t>
        </is>
      </c>
      <c r="J13" t="n">
        <v>34</v>
      </c>
      <c r="K13" t="inlineStr">
        <is>
          <t>(714) 548-5798</t>
        </is>
      </c>
      <c r="L13" t="inlineStr">
        <is>
          <t>Mtbui03@gmail.com</t>
        </is>
      </c>
      <c r="M13" t="inlineStr">
        <is>
          <t>Bible Challenge</t>
        </is>
      </c>
      <c r="N13" t="inlineStr">
        <is>
          <t>Mixed</t>
        </is>
      </c>
      <c r="O13" t="inlineStr">
        <is>
          <t>Team</t>
        </is>
      </c>
      <c r="P13" t="inlineStr"/>
      <c r="Q13" t="inlineStr"/>
    </row>
    <row r="14">
      <c r="A14" t="inlineStr">
        <is>
          <t>GAC</t>
        </is>
      </c>
      <c r="B14" t="inlineStr">
        <is>
          <t>3624650</t>
        </is>
      </c>
      <c r="C14" t="inlineStr">
        <is>
          <t>113</t>
        </is>
      </c>
      <c r="D14" t="inlineStr">
        <is>
          <t>validated</t>
        </is>
      </c>
      <c r="E14" t="b">
        <v>1</v>
      </c>
      <c r="F14">
        <f>IMAGE("https://chmeetings.blob.core.windows.net/846969/attachments/WE2MhiU60KpfrwsRDOWw/80708536-016c-42fa-95f4-079cf3a43697.jpg")</f>
        <v/>
      </c>
      <c r="G14" t="inlineStr">
        <is>
          <t>Tiffany</t>
        </is>
      </c>
      <c r="H14" t="inlineStr">
        <is>
          <t>Nguyen</t>
        </is>
      </c>
      <c r="I14" t="inlineStr">
        <is>
          <t>Female</t>
        </is>
      </c>
      <c r="J14" t="n">
        <v>21</v>
      </c>
      <c r="K14" t="inlineStr">
        <is>
          <t>(669) 215-5720</t>
        </is>
      </c>
      <c r="L14" t="inlineStr">
        <is>
          <t>tiffanyashlyn@gmail.com</t>
        </is>
      </c>
      <c r="M14" t="inlineStr">
        <is>
          <t>Bible Challenge</t>
        </is>
      </c>
      <c r="N14" t="inlineStr">
        <is>
          <t>Mixed</t>
        </is>
      </c>
      <c r="O14" t="inlineStr">
        <is>
          <t>Team</t>
        </is>
      </c>
      <c r="P14" t="inlineStr"/>
      <c r="Q14" t="inlineStr"/>
    </row>
    <row r="15">
      <c r="A15" t="inlineStr">
        <is>
          <t>GAC</t>
        </is>
      </c>
      <c r="B15" t="inlineStr">
        <is>
          <t>3610917</t>
        </is>
      </c>
      <c r="C15" t="inlineStr">
        <is>
          <t>56</t>
        </is>
      </c>
      <c r="D15" t="inlineStr">
        <is>
          <t>validated</t>
        </is>
      </c>
      <c r="E15" t="b">
        <v>1</v>
      </c>
      <c r="F15">
        <f>IMAGE("https://chmeetings.blob.core.windows.net/846969/attachments/dbPn6hwRbUmuEMeKWTNWxg/56cb0979-8b71-4c8e-9f5b-db9d018e400f.jpg")</f>
        <v/>
      </c>
      <c r="G15" t="inlineStr">
        <is>
          <t>Kayla</t>
        </is>
      </c>
      <c r="H15" t="inlineStr">
        <is>
          <t>Vo</t>
        </is>
      </c>
      <c r="I15" t="inlineStr">
        <is>
          <t>Female</t>
        </is>
      </c>
      <c r="J15" t="n">
        <v>19</v>
      </c>
      <c r="K15" t="inlineStr">
        <is>
          <t>(510) 774-2614</t>
        </is>
      </c>
      <c r="L15" t="inlineStr">
        <is>
          <t>kaimyvo@gmail.com</t>
        </is>
      </c>
      <c r="M15" t="inlineStr">
        <is>
          <t>Bible Challenge</t>
        </is>
      </c>
      <c r="N15" t="inlineStr">
        <is>
          <t>Mixed</t>
        </is>
      </c>
      <c r="O15" t="inlineStr">
        <is>
          <t>Team</t>
        </is>
      </c>
      <c r="P15" t="inlineStr"/>
      <c r="Q15" t="inlineStr"/>
    </row>
    <row r="16">
      <c r="A16" t="inlineStr">
        <is>
          <t>GAC</t>
        </is>
      </c>
      <c r="B16" t="inlineStr">
        <is>
          <t>3615958</t>
        </is>
      </c>
      <c r="C16" t="inlineStr">
        <is>
          <t>107</t>
        </is>
      </c>
      <c r="D16" t="inlineStr">
        <is>
          <t>validated</t>
        </is>
      </c>
      <c r="E16" t="b">
        <v>1</v>
      </c>
      <c r="F16">
        <f>IMAGE("https://chmeetings.blob.core.windows.net/846969/attachments/qPojkJbp4kmvCBQqd9r3Hw/09507491-ec10-4228-9164-6ed0669cc6b3.jpg")</f>
        <v/>
      </c>
      <c r="G16" t="inlineStr">
        <is>
          <t>Jamie</t>
        </is>
      </c>
      <c r="H16" t="inlineStr">
        <is>
          <t>Sauveur</t>
        </is>
      </c>
      <c r="I16" t="inlineStr">
        <is>
          <t>Male</t>
        </is>
      </c>
      <c r="J16" t="n">
        <v>29</v>
      </c>
      <c r="K16" t="inlineStr">
        <is>
          <t>(408) 605-7288</t>
        </is>
      </c>
      <c r="L16" t="inlineStr">
        <is>
          <t>jamieboy97@gmail.com</t>
        </is>
      </c>
      <c r="M16" t="inlineStr">
        <is>
          <t>Pickleball</t>
        </is>
      </c>
      <c r="N16" t="inlineStr">
        <is>
          <t>Mixed</t>
        </is>
      </c>
      <c r="O16" t="inlineStr">
        <is>
          <t>Doubles</t>
        </is>
      </c>
      <c r="P16" t="inlineStr"/>
      <c r="Q16" t="inlineStr">
        <is>
          <t>Vivian Tran</t>
        </is>
      </c>
    </row>
    <row r="17">
      <c r="A17" t="inlineStr">
        <is>
          <t>GAC</t>
        </is>
      </c>
      <c r="B17" t="inlineStr">
        <is>
          <t>3476612</t>
        </is>
      </c>
      <c r="C17" t="inlineStr">
        <is>
          <t>116</t>
        </is>
      </c>
      <c r="D17" t="inlineStr">
        <is>
          <t>validated</t>
        </is>
      </c>
      <c r="E17" t="b">
        <v>1</v>
      </c>
      <c r="F17">
        <f>IMAGE("https://chmeetings.blob.core.windows.net/846969/attachments/Yp0fusxU7UaOh8VIZqAdA/caa141b9-5524-474e-80b6-679f3fc1d845.jpg")</f>
        <v/>
      </c>
      <c r="G17" t="inlineStr">
        <is>
          <t>Vivian</t>
        </is>
      </c>
      <c r="H17" t="inlineStr">
        <is>
          <t>Tran</t>
        </is>
      </c>
      <c r="I17" t="inlineStr">
        <is>
          <t>Female</t>
        </is>
      </c>
      <c r="J17" t="n">
        <v>23</v>
      </c>
      <c r="K17" t="inlineStr">
        <is>
          <t>(916) 272-5979</t>
        </is>
      </c>
      <c r="L17" t="inlineStr">
        <is>
          <t>Viviantrvnn@gmail.com</t>
        </is>
      </c>
      <c r="M17" t="inlineStr">
        <is>
          <t>Pickleball</t>
        </is>
      </c>
      <c r="N17" t="inlineStr">
        <is>
          <t>Mixed</t>
        </is>
      </c>
      <c r="O17" t="inlineStr">
        <is>
          <t>Doubles</t>
        </is>
      </c>
      <c r="P17" t="inlineStr"/>
      <c r="Q17" t="inlineStr">
        <is>
          <t>Jamie S</t>
        </is>
      </c>
    </row>
    <row r="18">
      <c r="A18" t="inlineStr">
        <is>
          <t>GAC</t>
        </is>
      </c>
      <c r="B18" t="inlineStr">
        <is>
          <t>3610920</t>
        </is>
      </c>
      <c r="C18" t="inlineStr">
        <is>
          <t>45</t>
        </is>
      </c>
      <c r="D18" t="inlineStr">
        <is>
          <t>validated</t>
        </is>
      </c>
      <c r="E18" t="b">
        <v>1</v>
      </c>
      <c r="F18">
        <f>IMAGE("https://chmeetings.blob.core.windows.net/846969/attachments/OyWbdJyT5EixPoP3spOyLg/80becd09-3898-4d0b-a5a3-71310f9d20d4.jpg")</f>
        <v/>
      </c>
      <c r="G18" t="inlineStr">
        <is>
          <t>Aly</t>
        </is>
      </c>
      <c r="H18" t="inlineStr">
        <is>
          <t>Vo</t>
        </is>
      </c>
      <c r="I18" t="inlineStr">
        <is>
          <t>Female</t>
        </is>
      </c>
      <c r="J18" t="n">
        <v>18</v>
      </c>
      <c r="K18" t="inlineStr">
        <is>
          <t>(341) 227-8343</t>
        </is>
      </c>
      <c r="L18" t="inlineStr">
        <is>
          <t>Aly.vo29@gmail.com</t>
        </is>
      </c>
      <c r="M18" t="inlineStr">
        <is>
          <t>Pickleball</t>
        </is>
      </c>
      <c r="N18" t="inlineStr">
        <is>
          <t>Mixed</t>
        </is>
      </c>
      <c r="O18" t="inlineStr">
        <is>
          <t>Doubles</t>
        </is>
      </c>
      <c r="P18" t="inlineStr"/>
      <c r="Q18" t="inlineStr">
        <is>
          <t>King Vo</t>
        </is>
      </c>
    </row>
    <row r="19">
      <c r="A19" t="inlineStr">
        <is>
          <t>GAC</t>
        </is>
      </c>
      <c r="B19" t="inlineStr">
        <is>
          <t>3606104</t>
        </is>
      </c>
      <c r="C19" t="inlineStr">
        <is>
          <t>50</t>
        </is>
      </c>
      <c r="D19" t="inlineStr">
        <is>
          <t>validated</t>
        </is>
      </c>
      <c r="E19" t="b">
        <v>1</v>
      </c>
      <c r="F19">
        <f>IMAGE("https://chmeetings.blob.core.windows.net/846969/attachments/KN60GvBKJ0qRFQGEtYPMA/f0b82a94-8de5-49f2-bf74-75300a92c050.jpg")</f>
        <v/>
      </c>
      <c r="G19" t="inlineStr">
        <is>
          <t>Eric</t>
        </is>
      </c>
      <c r="H19" t="inlineStr">
        <is>
          <t>Nguyen</t>
        </is>
      </c>
      <c r="I19" t="inlineStr">
        <is>
          <t>Male</t>
        </is>
      </c>
      <c r="J19" t="n">
        <v>42</v>
      </c>
      <c r="K19" t="inlineStr">
        <is>
          <t>(562) 728-3782</t>
        </is>
      </c>
      <c r="L19" t="inlineStr">
        <is>
          <t>eric.t.nguyen@gmail.com</t>
        </is>
      </c>
      <c r="M19" t="inlineStr">
        <is>
          <t>Pickleball 35+</t>
        </is>
      </c>
      <c r="N19" t="inlineStr">
        <is>
          <t>Mixed</t>
        </is>
      </c>
      <c r="O19" t="inlineStr">
        <is>
          <t>Doubles</t>
        </is>
      </c>
      <c r="P19" t="inlineStr"/>
      <c r="Q19" t="inlineStr">
        <is>
          <t>Ruthi Nguyen</t>
        </is>
      </c>
    </row>
    <row r="20">
      <c r="A20" t="inlineStr">
        <is>
          <t>GAC</t>
        </is>
      </c>
      <c r="B20" t="inlineStr">
        <is>
          <t>4361952</t>
        </is>
      </c>
      <c r="C20" t="inlineStr">
        <is>
          <t>57</t>
        </is>
      </c>
      <c r="D20" t="inlineStr">
        <is>
          <t>pending</t>
        </is>
      </c>
      <c r="E20" t="b">
        <v>1</v>
      </c>
      <c r="F20">
        <f>IMAGE("https://chmeetings.blob.core.windows.net/846969/attachments/Hjxi9RYULUCBzV5lFGI92Q/b0ae99dc-29e8-4902-8dad-c2ffe54bf1b2.jpg")</f>
        <v/>
      </c>
      <c r="G20" t="inlineStr">
        <is>
          <t>Michael</t>
        </is>
      </c>
      <c r="H20" t="inlineStr">
        <is>
          <t>Cisneros</t>
        </is>
      </c>
      <c r="I20" t="inlineStr">
        <is>
          <t>Male</t>
        </is>
      </c>
      <c r="J20" t="n">
        <v>16</v>
      </c>
      <c r="K20" t="inlineStr">
        <is>
          <t>(925) 826-9988</t>
        </is>
      </c>
      <c r="L20" t="inlineStr">
        <is>
          <t>michael.cisneros03@icloud.com</t>
        </is>
      </c>
      <c r="M20" t="inlineStr">
        <is>
          <t>Scripture Memorization</t>
        </is>
      </c>
      <c r="N20" t="inlineStr">
        <is>
          <t>Mixed</t>
        </is>
      </c>
      <c r="O20" t="inlineStr">
        <is>
          <t>Team</t>
        </is>
      </c>
      <c r="P20" t="inlineStr"/>
      <c r="Q20" t="inlineStr"/>
    </row>
    <row r="21">
      <c r="A21" t="inlineStr">
        <is>
          <t>GAC</t>
        </is>
      </c>
      <c r="B21" t="inlineStr">
        <is>
          <t>3636819</t>
        </is>
      </c>
      <c r="C21" t="inlineStr">
        <is>
          <t>53</t>
        </is>
      </c>
      <c r="D21" t="inlineStr">
        <is>
          <t>validated</t>
        </is>
      </c>
      <c r="E21" t="b">
        <v>1</v>
      </c>
      <c r="F21">
        <f>IMAGE("https://chmeetings.blob.core.windows.net/846969/attachments/2EMW7UJtRk6APQ4qdfqDcA/cae1b6ba-c323-4927-8239-f131801812c4.jpg")</f>
        <v/>
      </c>
      <c r="G21" t="inlineStr">
        <is>
          <t>Jeremy</t>
        </is>
      </c>
      <c r="H21" t="inlineStr">
        <is>
          <t>OConnor</t>
        </is>
      </c>
      <c r="I21" t="inlineStr">
        <is>
          <t>Male</t>
        </is>
      </c>
      <c r="J21" t="n">
        <v>28</v>
      </c>
      <c r="K21" t="inlineStr">
        <is>
          <t>(408) 728-2130</t>
        </is>
      </c>
      <c r="L21" t="inlineStr">
        <is>
          <t>jeremyoc241@gmail.com</t>
        </is>
      </c>
      <c r="M21" t="inlineStr">
        <is>
          <t>Scripture Memorization</t>
        </is>
      </c>
      <c r="N21" t="inlineStr">
        <is>
          <t>Mixed</t>
        </is>
      </c>
      <c r="O21" t="inlineStr">
        <is>
          <t>Team</t>
        </is>
      </c>
      <c r="P21" t="inlineStr"/>
      <c r="Q21" t="inlineStr"/>
    </row>
    <row r="22">
      <c r="A22" t="inlineStr">
        <is>
          <t>GAC</t>
        </is>
      </c>
      <c r="B22" t="inlineStr">
        <is>
          <t>4363695</t>
        </is>
      </c>
      <c r="C22" t="inlineStr">
        <is>
          <t>112</t>
        </is>
      </c>
      <c r="D22" t="inlineStr">
        <is>
          <t>validated</t>
        </is>
      </c>
      <c r="E22" t="b">
        <v>1</v>
      </c>
      <c r="F22">
        <f>IMAGE("https://chmeetings.blob.core.windows.net/846969/attachments/BINhgC34TECifThOttOVlQ/04fe1f84-53cd-41d0-a989-73440f1470ff.jpg")</f>
        <v/>
      </c>
      <c r="G22" t="inlineStr">
        <is>
          <t>Thinh</t>
        </is>
      </c>
      <c r="H22" t="inlineStr">
        <is>
          <t>Nguyen</t>
        </is>
      </c>
      <c r="I22" t="inlineStr">
        <is>
          <t>Male</t>
        </is>
      </c>
      <c r="J22" t="n">
        <v>24</v>
      </c>
      <c r="K22" t="inlineStr">
        <is>
          <t>(206) 581-7487</t>
        </is>
      </c>
      <c r="L22" t="inlineStr">
        <is>
          <t>mthinhngn@gmail.com</t>
        </is>
      </c>
      <c r="M22" t="inlineStr">
        <is>
          <t>Soccer - Coed Exhibition</t>
        </is>
      </c>
      <c r="N22" t="inlineStr">
        <is>
          <t>Mixed</t>
        </is>
      </c>
      <c r="O22" t="inlineStr">
        <is>
          <t>Team</t>
        </is>
      </c>
      <c r="P22" t="inlineStr"/>
      <c r="Q22" t="inlineStr"/>
    </row>
    <row r="23">
      <c r="A23" t="inlineStr">
        <is>
          <t>GAC</t>
        </is>
      </c>
      <c r="B23" t="inlineStr">
        <is>
          <t>3615948</t>
        </is>
      </c>
      <c r="C23" t="inlineStr">
        <is>
          <t>46</t>
        </is>
      </c>
      <c r="D23" t="inlineStr">
        <is>
          <t>validated</t>
        </is>
      </c>
      <c r="E23" t="b">
        <v>1</v>
      </c>
      <c r="F23">
        <f>IMAGE("https://chmeetings.blob.core.windows.net/846969/attachments/jl2i4eVeYECLBJcTyk7tA/55b9f204-7df3-4ccf-ba35-08d5400d946c.jpg")</f>
        <v/>
      </c>
      <c r="G23" t="inlineStr">
        <is>
          <t>Anthony</t>
        </is>
      </c>
      <c r="H23" t="inlineStr">
        <is>
          <t>Ta</t>
        </is>
      </c>
      <c r="I23" t="inlineStr">
        <is>
          <t>Male</t>
        </is>
      </c>
      <c r="J23" t="n">
        <v>25</v>
      </c>
      <c r="K23" t="inlineStr">
        <is>
          <t>(408) 551-8190</t>
        </is>
      </c>
      <c r="L23" t="inlineStr">
        <is>
          <t>anthonyta502@gmail.com</t>
        </is>
      </c>
      <c r="M23" t="inlineStr">
        <is>
          <t>Soccer - Coed Exhibition</t>
        </is>
      </c>
      <c r="N23" t="inlineStr">
        <is>
          <t>Mixed</t>
        </is>
      </c>
      <c r="O23" t="inlineStr">
        <is>
          <t>Team</t>
        </is>
      </c>
      <c r="P23" t="inlineStr"/>
      <c r="Q23" t="inlineStr"/>
    </row>
    <row r="24">
      <c r="A24" t="inlineStr">
        <is>
          <t>GAC</t>
        </is>
      </c>
      <c r="B24" t="inlineStr">
        <is>
          <t>3610920</t>
        </is>
      </c>
      <c r="C24" t="inlineStr">
        <is>
          <t>45</t>
        </is>
      </c>
      <c r="D24" t="inlineStr">
        <is>
          <t>validated</t>
        </is>
      </c>
      <c r="E24" t="b">
        <v>1</v>
      </c>
      <c r="F24">
        <f>IMAGE("https://chmeetings.blob.core.windows.net/846969/attachments/OyWbdJyT5EixPoP3spOyLg/80becd09-3898-4d0b-a5a3-71310f9d20d4.jpg")</f>
        <v/>
      </c>
      <c r="G24" t="inlineStr">
        <is>
          <t>Aly</t>
        </is>
      </c>
      <c r="H24" t="inlineStr">
        <is>
          <t>Vo</t>
        </is>
      </c>
      <c r="I24" t="inlineStr">
        <is>
          <t>Female</t>
        </is>
      </c>
      <c r="J24" t="n">
        <v>18</v>
      </c>
      <c r="K24" t="inlineStr">
        <is>
          <t>(341) 227-8343</t>
        </is>
      </c>
      <c r="L24" t="inlineStr">
        <is>
          <t>Aly.vo29@gmail.com</t>
        </is>
      </c>
      <c r="M24" t="inlineStr">
        <is>
          <t>Soccer - Coed Exhibition</t>
        </is>
      </c>
      <c r="N24" t="inlineStr">
        <is>
          <t>Mixed</t>
        </is>
      </c>
      <c r="O24" t="inlineStr">
        <is>
          <t>Team</t>
        </is>
      </c>
      <c r="P24" t="inlineStr"/>
      <c r="Q24" t="inlineStr"/>
    </row>
    <row r="25">
      <c r="A25" t="inlineStr">
        <is>
          <t>GAC</t>
        </is>
      </c>
      <c r="B25" t="inlineStr">
        <is>
          <t>3610917</t>
        </is>
      </c>
      <c r="C25" t="inlineStr">
        <is>
          <t>56</t>
        </is>
      </c>
      <c r="D25" t="inlineStr">
        <is>
          <t>validated</t>
        </is>
      </c>
      <c r="E25" t="b">
        <v>1</v>
      </c>
      <c r="F25">
        <f>IMAGE("https://chmeetings.blob.core.windows.net/846969/attachments/dbPn6hwRbUmuEMeKWTNWxg/56cb0979-8b71-4c8e-9f5b-db9d018e400f.jpg")</f>
        <v/>
      </c>
      <c r="G25" t="inlineStr">
        <is>
          <t>Kayla</t>
        </is>
      </c>
      <c r="H25" t="inlineStr">
        <is>
          <t>Vo</t>
        </is>
      </c>
      <c r="I25" t="inlineStr">
        <is>
          <t>Female</t>
        </is>
      </c>
      <c r="J25" t="n">
        <v>19</v>
      </c>
      <c r="K25" t="inlineStr">
        <is>
          <t>(510) 774-2614</t>
        </is>
      </c>
      <c r="L25" t="inlineStr">
        <is>
          <t>kaimyvo@gmail.com</t>
        </is>
      </c>
      <c r="M25" t="inlineStr">
        <is>
          <t>Soccer - Coed Exhibition</t>
        </is>
      </c>
      <c r="N25" t="inlineStr">
        <is>
          <t>Mixed</t>
        </is>
      </c>
      <c r="O25" t="inlineStr">
        <is>
          <t>Team</t>
        </is>
      </c>
      <c r="P25" t="inlineStr"/>
      <c r="Q25" t="inlineStr"/>
    </row>
    <row r="26">
      <c r="A26" t="inlineStr">
        <is>
          <t>GAC</t>
        </is>
      </c>
      <c r="B26" t="inlineStr">
        <is>
          <t>3610915</t>
        </is>
      </c>
      <c r="C26" t="inlineStr">
        <is>
          <t>55</t>
        </is>
      </c>
      <c r="D26" t="inlineStr">
        <is>
          <t>validated</t>
        </is>
      </c>
      <c r="E26" t="b">
        <v>1</v>
      </c>
      <c r="F26">
        <f>IMAGE("https://chmeetings.blob.core.windows.net/846969/attachments/4FXwXlnpfkCUWrqQHd3hyA/e34c034d-999f-4910-8e93-b20c75a2480d.jpg")</f>
        <v/>
      </c>
      <c r="G26" t="inlineStr">
        <is>
          <t>Joshua</t>
        </is>
      </c>
      <c r="H26" t="inlineStr">
        <is>
          <t>Dang</t>
        </is>
      </c>
      <c r="I26" t="inlineStr">
        <is>
          <t>Male</t>
        </is>
      </c>
      <c r="J26" t="n">
        <v>20</v>
      </c>
      <c r="K26" t="inlineStr">
        <is>
          <t>(669) 207-9451</t>
        </is>
      </c>
      <c r="L26" t="inlineStr">
        <is>
          <t>joshdang336@gmail.com</t>
        </is>
      </c>
      <c r="M26" t="inlineStr">
        <is>
          <t>Table Tennis</t>
        </is>
      </c>
      <c r="N26" t="inlineStr">
        <is>
          <t>Men</t>
        </is>
      </c>
      <c r="O26" t="inlineStr">
        <is>
          <t>Doubles</t>
        </is>
      </c>
      <c r="P26" t="inlineStr"/>
      <c r="Q26" t="inlineStr">
        <is>
          <t>Noah Vo</t>
        </is>
      </c>
    </row>
    <row r="27">
      <c r="A27" t="inlineStr">
        <is>
          <t>GAC</t>
        </is>
      </c>
      <c r="B27" t="inlineStr">
        <is>
          <t>3610915</t>
        </is>
      </c>
      <c r="C27" t="inlineStr">
        <is>
          <t>55</t>
        </is>
      </c>
      <c r="D27" t="inlineStr">
        <is>
          <t>validated</t>
        </is>
      </c>
      <c r="E27" t="b">
        <v>1</v>
      </c>
      <c r="F27">
        <f>IMAGE("https://chmeetings.blob.core.windows.net/846969/attachments/4FXwXlnpfkCUWrqQHd3hyA/e34c034d-999f-4910-8e93-b20c75a2480d.jpg")</f>
        <v/>
      </c>
      <c r="G27" t="inlineStr">
        <is>
          <t>Joshua</t>
        </is>
      </c>
      <c r="H27" t="inlineStr">
        <is>
          <t>Dang</t>
        </is>
      </c>
      <c r="I27" t="inlineStr">
        <is>
          <t>Male</t>
        </is>
      </c>
      <c r="J27" t="n">
        <v>20</v>
      </c>
      <c r="K27" t="inlineStr">
        <is>
          <t>(669) 207-9451</t>
        </is>
      </c>
      <c r="L27" t="inlineStr">
        <is>
          <t>joshdang336@gmail.com</t>
        </is>
      </c>
      <c r="M27" t="inlineStr">
        <is>
          <t>Table Tennis</t>
        </is>
      </c>
      <c r="N27" t="inlineStr">
        <is>
          <t>Men</t>
        </is>
      </c>
      <c r="O27" t="inlineStr">
        <is>
          <t>Singles</t>
        </is>
      </c>
      <c r="P27" t="inlineStr"/>
      <c r="Q27" t="inlineStr"/>
    </row>
    <row r="28">
      <c r="A28" t="inlineStr">
        <is>
          <t>GAC</t>
        </is>
      </c>
      <c r="B28" t="inlineStr">
        <is>
          <t>3610918</t>
        </is>
      </c>
      <c r="C28" t="inlineStr">
        <is>
          <t>108</t>
        </is>
      </c>
      <c r="D28" t="inlineStr">
        <is>
          <t>pending</t>
        </is>
      </c>
      <c r="E28" t="b">
        <v>1</v>
      </c>
      <c r="F28">
        <f>IMAGE("https://chmeetings.blob.core.windows.net/846969/attachments/EGfLYzrf4UuvbrSrl3fCuQ/a15519c8-561a-4090-ae77-e8e26bc544a0.jpg")</f>
        <v/>
      </c>
      <c r="G28" t="inlineStr">
        <is>
          <t>Justtin</t>
        </is>
      </c>
      <c r="H28" t="inlineStr">
        <is>
          <t>Pham</t>
        </is>
      </c>
      <c r="I28" t="inlineStr">
        <is>
          <t>Male</t>
        </is>
      </c>
      <c r="J28" t="n">
        <v>15</v>
      </c>
      <c r="K28" t="inlineStr">
        <is>
          <t>(925) 406-9096</t>
        </is>
      </c>
      <c r="L28" t="inlineStr">
        <is>
          <t>justjusttinpham@gmail.com</t>
        </is>
      </c>
      <c r="M28" t="inlineStr">
        <is>
          <t>Table Tennis</t>
        </is>
      </c>
      <c r="N28" t="inlineStr">
        <is>
          <t>Men</t>
        </is>
      </c>
      <c r="O28" t="inlineStr">
        <is>
          <t>Doubles</t>
        </is>
      </c>
      <c r="P28" t="inlineStr"/>
      <c r="Q28" t="inlineStr">
        <is>
          <t>Phillip Tran</t>
        </is>
      </c>
    </row>
    <row r="29">
      <c r="A29" t="inlineStr">
        <is>
          <t>GAC</t>
        </is>
      </c>
      <c r="B29" t="inlineStr">
        <is>
          <t>3610918</t>
        </is>
      </c>
      <c r="C29" t="inlineStr">
        <is>
          <t>108</t>
        </is>
      </c>
      <c r="D29" t="inlineStr">
        <is>
          <t>pending</t>
        </is>
      </c>
      <c r="E29" t="b">
        <v>1</v>
      </c>
      <c r="F29">
        <f>IMAGE("https://chmeetings.blob.core.windows.net/846969/attachments/EGfLYzrf4UuvbrSrl3fCuQ/a15519c8-561a-4090-ae77-e8e26bc544a0.jpg")</f>
        <v/>
      </c>
      <c r="G29" t="inlineStr">
        <is>
          <t>Justtin</t>
        </is>
      </c>
      <c r="H29" t="inlineStr">
        <is>
          <t>Pham</t>
        </is>
      </c>
      <c r="I29" t="inlineStr">
        <is>
          <t>Male</t>
        </is>
      </c>
      <c r="J29" t="n">
        <v>15</v>
      </c>
      <c r="K29" t="inlineStr">
        <is>
          <t>(925) 406-9096</t>
        </is>
      </c>
      <c r="L29" t="inlineStr">
        <is>
          <t>justjusttinpham@gmail.com</t>
        </is>
      </c>
      <c r="M29" t="inlineStr">
        <is>
          <t>Table Tennis</t>
        </is>
      </c>
      <c r="N29" t="inlineStr">
        <is>
          <t>Men</t>
        </is>
      </c>
      <c r="O29" t="inlineStr">
        <is>
          <t>Singles</t>
        </is>
      </c>
      <c r="P29" t="inlineStr"/>
      <c r="Q29" t="inlineStr"/>
    </row>
    <row r="30">
      <c r="A30" t="inlineStr">
        <is>
          <t>GAC</t>
        </is>
      </c>
      <c r="B30" t="inlineStr">
        <is>
          <t>3618804</t>
        </is>
      </c>
      <c r="C30" t="inlineStr">
        <is>
          <t>111</t>
        </is>
      </c>
      <c r="D30" t="inlineStr">
        <is>
          <t>pending</t>
        </is>
      </c>
      <c r="E30" t="b">
        <v>1</v>
      </c>
      <c r="F30">
        <f>IMAGE("https://chmeetings.blob.core.windows.net/846969/attachments/fa57rd7DEUi3wuhMi4fndw/4e49d748-6cc9-4bf5-a217-81f093199461.jpg")</f>
        <v/>
      </c>
      <c r="G30" t="inlineStr">
        <is>
          <t>Phillip</t>
        </is>
      </c>
      <c r="H30" t="inlineStr">
        <is>
          <t>Tran</t>
        </is>
      </c>
      <c r="I30" t="inlineStr">
        <is>
          <t>Male</t>
        </is>
      </c>
      <c r="J30" t="n">
        <v>15</v>
      </c>
      <c r="K30" t="inlineStr">
        <is>
          <t>(408) 616-9839</t>
        </is>
      </c>
      <c r="L30" t="inlineStr">
        <is>
          <t>phillipissupercool538@gmail.com</t>
        </is>
      </c>
      <c r="M30" t="inlineStr">
        <is>
          <t>Table Tennis</t>
        </is>
      </c>
      <c r="N30" t="inlineStr">
        <is>
          <t>Men</t>
        </is>
      </c>
      <c r="O30" t="inlineStr">
        <is>
          <t>Doubles</t>
        </is>
      </c>
      <c r="P30" t="inlineStr"/>
      <c r="Q30" t="inlineStr">
        <is>
          <t>Justtin Pham</t>
        </is>
      </c>
    </row>
    <row r="31">
      <c r="A31" t="inlineStr">
        <is>
          <t>GAC</t>
        </is>
      </c>
      <c r="B31" t="inlineStr">
        <is>
          <t>3618804</t>
        </is>
      </c>
      <c r="C31" t="inlineStr">
        <is>
          <t>111</t>
        </is>
      </c>
      <c r="D31" t="inlineStr">
        <is>
          <t>pending</t>
        </is>
      </c>
      <c r="E31" t="b">
        <v>1</v>
      </c>
      <c r="F31">
        <f>IMAGE("https://chmeetings.blob.core.windows.net/846969/attachments/fa57rd7DEUi3wuhMi4fndw/4e49d748-6cc9-4bf5-a217-81f093199461.jpg")</f>
        <v/>
      </c>
      <c r="G31" t="inlineStr">
        <is>
          <t>Phillip</t>
        </is>
      </c>
      <c r="H31" t="inlineStr">
        <is>
          <t>Tran</t>
        </is>
      </c>
      <c r="I31" t="inlineStr">
        <is>
          <t>Male</t>
        </is>
      </c>
      <c r="J31" t="n">
        <v>15</v>
      </c>
      <c r="K31" t="inlineStr">
        <is>
          <t>(408) 616-9839</t>
        </is>
      </c>
      <c r="L31" t="inlineStr">
        <is>
          <t>phillipissupercool538@gmail.com</t>
        </is>
      </c>
      <c r="M31" t="inlineStr">
        <is>
          <t>Table Tennis</t>
        </is>
      </c>
      <c r="N31" t="inlineStr">
        <is>
          <t>Men</t>
        </is>
      </c>
      <c r="O31" t="inlineStr">
        <is>
          <t>Singles</t>
        </is>
      </c>
      <c r="P31" t="inlineStr"/>
      <c r="Q31" t="inlineStr"/>
    </row>
    <row r="32">
      <c r="A32" t="inlineStr">
        <is>
          <t>GAC</t>
        </is>
      </c>
      <c r="B32" t="inlineStr">
        <is>
          <t>3610919</t>
        </is>
      </c>
      <c r="C32" t="inlineStr">
        <is>
          <t>60</t>
        </is>
      </c>
      <c r="D32" t="inlineStr">
        <is>
          <t>pending</t>
        </is>
      </c>
      <c r="E32" t="b">
        <v>1</v>
      </c>
      <c r="F32">
        <f>IMAGE("https://chmeetings.blob.core.windows.net/846969/attachments/5eKHOYUtGk6OW2Yv9KYF7Q/38b6a312-42c2-45d1-bf6e-ff86f4ceeca3.jpg")</f>
        <v/>
      </c>
      <c r="G32" t="inlineStr">
        <is>
          <t>Noah</t>
        </is>
      </c>
      <c r="H32" t="inlineStr">
        <is>
          <t>Vo</t>
        </is>
      </c>
      <c r="I32" t="inlineStr">
        <is>
          <t>Male</t>
        </is>
      </c>
      <c r="J32" t="n">
        <v>16</v>
      </c>
      <c r="K32" t="inlineStr">
        <is>
          <t>(510) 605-8983</t>
        </is>
      </c>
      <c r="L32" t="inlineStr">
        <is>
          <t>noahhappysmiles@gmail.com</t>
        </is>
      </c>
      <c r="M32" t="inlineStr">
        <is>
          <t>Table Tennis</t>
        </is>
      </c>
      <c r="N32" t="inlineStr">
        <is>
          <t>Men</t>
        </is>
      </c>
      <c r="O32" t="inlineStr">
        <is>
          <t>Doubles</t>
        </is>
      </c>
      <c r="P32" t="inlineStr"/>
      <c r="Q32" t="inlineStr">
        <is>
          <t>Josh Deng</t>
        </is>
      </c>
    </row>
    <row r="33">
      <c r="A33" t="inlineStr">
        <is>
          <t>GAC</t>
        </is>
      </c>
      <c r="B33" t="inlineStr">
        <is>
          <t>4363702</t>
        </is>
      </c>
      <c r="C33" t="inlineStr">
        <is>
          <t>114</t>
        </is>
      </c>
      <c r="D33" t="inlineStr">
        <is>
          <t>validated</t>
        </is>
      </c>
      <c r="E33" t="b">
        <v>1</v>
      </c>
      <c r="F33">
        <f>IMAGE("https://chmeetings.blob.core.windows.net/846969/attachments/ROHoX9AhkqcJQzXnKNrQ/9b3a9902-9865-411f-8560-68da85fa6eaf.jpg")</f>
        <v/>
      </c>
      <c r="G33" t="inlineStr">
        <is>
          <t>Timothy</t>
        </is>
      </c>
      <c r="H33" t="inlineStr">
        <is>
          <t>Tran</t>
        </is>
      </c>
      <c r="I33" t="inlineStr">
        <is>
          <t>Male</t>
        </is>
      </c>
      <c r="J33" t="n">
        <v>56</v>
      </c>
      <c r="K33" t="inlineStr">
        <is>
          <t>(408) 568-7264</t>
        </is>
      </c>
      <c r="L33" t="inlineStr">
        <is>
          <t>timltran2003@yahoo.com</t>
        </is>
      </c>
      <c r="M33" t="inlineStr">
        <is>
          <t>Table Tennis 35+</t>
        </is>
      </c>
      <c r="N33" t="inlineStr">
        <is>
          <t>Men</t>
        </is>
      </c>
      <c r="O33" t="inlineStr">
        <is>
          <t>Doubles</t>
        </is>
      </c>
      <c r="P33" t="inlineStr"/>
      <c r="Q33" t="inlineStr">
        <is>
          <t>Dung Pham</t>
        </is>
      </c>
    </row>
    <row r="34">
      <c r="A34" t="inlineStr">
        <is>
          <t>GAC</t>
        </is>
      </c>
      <c r="B34" t="inlineStr">
        <is>
          <t>4361952</t>
        </is>
      </c>
      <c r="C34" t="inlineStr">
        <is>
          <t>57</t>
        </is>
      </c>
      <c r="D34" t="inlineStr">
        <is>
          <t>pending</t>
        </is>
      </c>
      <c r="E34" t="b">
        <v>1</v>
      </c>
      <c r="F34">
        <f>IMAGE("https://chmeetings.blob.core.windows.net/846969/attachments/Hjxi9RYULUCBzV5lFGI92Q/b0ae99dc-29e8-4902-8dad-c2ffe54bf1b2.jpg")</f>
        <v/>
      </c>
      <c r="G34" t="inlineStr">
        <is>
          <t>Michael</t>
        </is>
      </c>
      <c r="H34" t="inlineStr">
        <is>
          <t>Cisneros</t>
        </is>
      </c>
      <c r="I34" t="inlineStr">
        <is>
          <t>Male</t>
        </is>
      </c>
      <c r="J34" t="n">
        <v>16</v>
      </c>
      <c r="K34" t="inlineStr">
        <is>
          <t>(925) 826-9988</t>
        </is>
      </c>
      <c r="L34" t="inlineStr">
        <is>
          <t>michael.cisneros03@icloud.com</t>
        </is>
      </c>
      <c r="M34" t="inlineStr">
        <is>
          <t>Track &amp; Field</t>
        </is>
      </c>
      <c r="N34" t="inlineStr">
        <is>
          <t>Mixed</t>
        </is>
      </c>
      <c r="O34" t="inlineStr">
        <is>
          <t>Team</t>
        </is>
      </c>
      <c r="P34" t="inlineStr"/>
      <c r="Q34" t="inlineStr"/>
    </row>
    <row r="35">
      <c r="A35" t="inlineStr">
        <is>
          <t>GAC</t>
        </is>
      </c>
      <c r="B35" t="inlineStr">
        <is>
          <t>3636819</t>
        </is>
      </c>
      <c r="C35" t="inlineStr">
        <is>
          <t>53</t>
        </is>
      </c>
      <c r="D35" t="inlineStr">
        <is>
          <t>validated</t>
        </is>
      </c>
      <c r="E35" t="b">
        <v>1</v>
      </c>
      <c r="F35">
        <f>IMAGE("https://chmeetings.blob.core.windows.net/846969/attachments/2EMW7UJtRk6APQ4qdfqDcA/cae1b6ba-c323-4927-8239-f131801812c4.jpg")</f>
        <v/>
      </c>
      <c r="G35" t="inlineStr">
        <is>
          <t>Jeremy</t>
        </is>
      </c>
      <c r="H35" t="inlineStr">
        <is>
          <t>OConnor</t>
        </is>
      </c>
      <c r="I35" t="inlineStr">
        <is>
          <t>Male</t>
        </is>
      </c>
      <c r="J35" t="n">
        <v>28</v>
      </c>
      <c r="K35" t="inlineStr">
        <is>
          <t>(408) 728-2130</t>
        </is>
      </c>
      <c r="L35" t="inlineStr">
        <is>
          <t>jeremyoc241@gmail.com</t>
        </is>
      </c>
      <c r="M35" t="inlineStr">
        <is>
          <t>Track &amp; Field</t>
        </is>
      </c>
      <c r="N35" t="inlineStr">
        <is>
          <t>Mixed</t>
        </is>
      </c>
      <c r="O35" t="inlineStr">
        <is>
          <t>Team</t>
        </is>
      </c>
      <c r="P35" t="inlineStr"/>
      <c r="Q35" t="inlineStr"/>
    </row>
    <row r="36">
      <c r="A36" t="inlineStr">
        <is>
          <t>GAC</t>
        </is>
      </c>
      <c r="B36" t="inlineStr">
        <is>
          <t>4363701</t>
        </is>
      </c>
      <c r="C36" t="inlineStr">
        <is>
          <t>105</t>
        </is>
      </c>
      <c r="D36" t="inlineStr">
        <is>
          <t>pending</t>
        </is>
      </c>
      <c r="E36" t="b">
        <v>1</v>
      </c>
      <c r="F36">
        <f>IMAGE("https://chmeetings.blob.core.windows.net/846969/attachments/PE42ANWDEO4itEGSLic9A/c8d67430-bdd3-47dd-a724-f577a5d5e3e7.jpg")</f>
        <v/>
      </c>
      <c r="G36" t="inlineStr">
        <is>
          <t>Caitlin</t>
        </is>
      </c>
      <c r="H36" t="inlineStr">
        <is>
          <t>Tran</t>
        </is>
      </c>
      <c r="I36" t="inlineStr">
        <is>
          <t>Female</t>
        </is>
      </c>
      <c r="J36" t="n">
        <v>13</v>
      </c>
      <c r="K36" t="inlineStr">
        <is>
          <t>(408) 568-7264</t>
        </is>
      </c>
      <c r="L36" t="inlineStr">
        <is>
          <t>timltran2003@yahoo.com</t>
        </is>
      </c>
      <c r="M36" t="inlineStr">
        <is>
          <t>Track &amp; Field</t>
        </is>
      </c>
      <c r="N36" t="inlineStr">
        <is>
          <t>Mixed</t>
        </is>
      </c>
      <c r="O36" t="inlineStr">
        <is>
          <t>Team</t>
        </is>
      </c>
      <c r="P36" t="inlineStr"/>
      <c r="Q36" t="inlineStr"/>
    </row>
    <row r="37">
      <c r="A37" t="inlineStr">
        <is>
          <t>GAC</t>
        </is>
      </c>
      <c r="B37" t="inlineStr">
        <is>
          <t>3618804</t>
        </is>
      </c>
      <c r="C37" t="inlineStr">
        <is>
          <t>111</t>
        </is>
      </c>
      <c r="D37" t="inlineStr">
        <is>
          <t>pending</t>
        </is>
      </c>
      <c r="E37" t="b">
        <v>1</v>
      </c>
      <c r="F37">
        <f>IMAGE("https://chmeetings.blob.core.windows.net/846969/attachments/fa57rd7DEUi3wuhMi4fndw/4e49d748-6cc9-4bf5-a217-81f093199461.jpg")</f>
        <v/>
      </c>
      <c r="G37" t="inlineStr">
        <is>
          <t>Phillip</t>
        </is>
      </c>
      <c r="H37" t="inlineStr">
        <is>
          <t>Tran</t>
        </is>
      </c>
      <c r="I37" t="inlineStr">
        <is>
          <t>Male</t>
        </is>
      </c>
      <c r="J37" t="n">
        <v>15</v>
      </c>
      <c r="K37" t="inlineStr">
        <is>
          <t>(408) 616-9839</t>
        </is>
      </c>
      <c r="L37" t="inlineStr">
        <is>
          <t>phillipissupercool538@gmail.com</t>
        </is>
      </c>
      <c r="M37" t="inlineStr">
        <is>
          <t>Track &amp; Field</t>
        </is>
      </c>
      <c r="N37" t="inlineStr">
        <is>
          <t>Mixed</t>
        </is>
      </c>
      <c r="O37" t="inlineStr">
        <is>
          <t>Team</t>
        </is>
      </c>
      <c r="P37" t="inlineStr"/>
      <c r="Q37" t="inlineStr"/>
    </row>
    <row r="38">
      <c r="A38" t="inlineStr">
        <is>
          <t>GAC</t>
        </is>
      </c>
      <c r="B38" t="inlineStr">
        <is>
          <t>3618803</t>
        </is>
      </c>
      <c r="C38" t="inlineStr">
        <is>
          <t>47</t>
        </is>
      </c>
      <c r="D38" t="inlineStr">
        <is>
          <t>validated</t>
        </is>
      </c>
      <c r="E38" t="b">
        <v>1</v>
      </c>
      <c r="F38">
        <f>IMAGE("https://chmeetings.blob.core.windows.net/846969/attachments/8RaR3P2EW0W4gXH4RYhbTA/5ceea1d8-d408-4951-80f1-990d0318e7f1.jpg")</f>
        <v/>
      </c>
      <c r="G38" t="inlineStr">
        <is>
          <t>Brendan</t>
        </is>
      </c>
      <c r="H38" t="inlineStr">
        <is>
          <t>Chau</t>
        </is>
      </c>
      <c r="I38" t="inlineStr">
        <is>
          <t>Male</t>
        </is>
      </c>
      <c r="J38" t="n">
        <v>28</v>
      </c>
      <c r="K38" t="inlineStr">
        <is>
          <t>(408) 781-6867</t>
        </is>
      </c>
      <c r="L38" t="inlineStr">
        <is>
          <t>bvanchau35@gmail.com</t>
        </is>
      </c>
      <c r="M38" t="inlineStr">
        <is>
          <t>Tug-of-war</t>
        </is>
      </c>
      <c r="N38" t="inlineStr">
        <is>
          <t>Mixed</t>
        </is>
      </c>
      <c r="O38" t="inlineStr">
        <is>
          <t>Team</t>
        </is>
      </c>
      <c r="P38" t="inlineStr"/>
      <c r="Q38" t="inlineStr"/>
    </row>
    <row r="39">
      <c r="A39" t="inlineStr">
        <is>
          <t>GAC</t>
        </is>
      </c>
      <c r="B39" t="inlineStr">
        <is>
          <t>4361952</t>
        </is>
      </c>
      <c r="C39" t="inlineStr">
        <is>
          <t>57</t>
        </is>
      </c>
      <c r="D39" t="inlineStr">
        <is>
          <t>pending</t>
        </is>
      </c>
      <c r="E39" t="b">
        <v>1</v>
      </c>
      <c r="F39">
        <f>IMAGE("https://chmeetings.blob.core.windows.net/846969/attachments/Hjxi9RYULUCBzV5lFGI92Q/b0ae99dc-29e8-4902-8dad-c2ffe54bf1b2.jpg")</f>
        <v/>
      </c>
      <c r="G39" t="inlineStr">
        <is>
          <t>Michael</t>
        </is>
      </c>
      <c r="H39" t="inlineStr">
        <is>
          <t>Cisneros</t>
        </is>
      </c>
      <c r="I39" t="inlineStr">
        <is>
          <t>Male</t>
        </is>
      </c>
      <c r="J39" t="n">
        <v>16</v>
      </c>
      <c r="K39" t="inlineStr">
        <is>
          <t>(925) 826-9988</t>
        </is>
      </c>
      <c r="L39" t="inlineStr">
        <is>
          <t>michael.cisneros03@icloud.com</t>
        </is>
      </c>
      <c r="M39" t="inlineStr">
        <is>
          <t>Tug-of-war</t>
        </is>
      </c>
      <c r="N39" t="inlineStr">
        <is>
          <t>Mixed</t>
        </is>
      </c>
      <c r="O39" t="inlineStr">
        <is>
          <t>Team</t>
        </is>
      </c>
      <c r="P39" t="inlineStr"/>
      <c r="Q39" t="inlineStr"/>
    </row>
    <row r="40">
      <c r="A40" t="inlineStr">
        <is>
          <t>GAC</t>
        </is>
      </c>
      <c r="B40" t="inlineStr">
        <is>
          <t>3636819</t>
        </is>
      </c>
      <c r="C40" t="inlineStr">
        <is>
          <t>53</t>
        </is>
      </c>
      <c r="D40" t="inlineStr">
        <is>
          <t>validated</t>
        </is>
      </c>
      <c r="E40" t="b">
        <v>1</v>
      </c>
      <c r="F40">
        <f>IMAGE("https://chmeetings.blob.core.windows.net/846969/attachments/2EMW7UJtRk6APQ4qdfqDcA/cae1b6ba-c323-4927-8239-f131801812c4.jpg")</f>
        <v/>
      </c>
      <c r="G40" t="inlineStr">
        <is>
          <t>Jeremy</t>
        </is>
      </c>
      <c r="H40" t="inlineStr">
        <is>
          <t>OConnor</t>
        </is>
      </c>
      <c r="I40" t="inlineStr">
        <is>
          <t>Male</t>
        </is>
      </c>
      <c r="J40" t="n">
        <v>28</v>
      </c>
      <c r="K40" t="inlineStr">
        <is>
          <t>(408) 728-2130</t>
        </is>
      </c>
      <c r="L40" t="inlineStr">
        <is>
          <t>jeremyoc241@gmail.com</t>
        </is>
      </c>
      <c r="M40" t="inlineStr">
        <is>
          <t>Tug-of-war</t>
        </is>
      </c>
      <c r="N40" t="inlineStr">
        <is>
          <t>Mixed</t>
        </is>
      </c>
      <c r="O40" t="inlineStr">
        <is>
          <t>Team</t>
        </is>
      </c>
      <c r="P40" t="inlineStr"/>
      <c r="Q40" t="inlineStr"/>
    </row>
    <row r="41">
      <c r="A41" t="inlineStr">
        <is>
          <t>GAC</t>
        </is>
      </c>
      <c r="B41" t="inlineStr">
        <is>
          <t>3615948</t>
        </is>
      </c>
      <c r="C41" t="inlineStr">
        <is>
          <t>46</t>
        </is>
      </c>
      <c r="D41" t="inlineStr">
        <is>
          <t>validated</t>
        </is>
      </c>
      <c r="E41" t="b">
        <v>1</v>
      </c>
      <c r="F41">
        <f>IMAGE("https://chmeetings.blob.core.windows.net/846969/attachments/jl2i4eVeYECLBJcTyk7tA/55b9f204-7df3-4ccf-ba35-08d5400d946c.jpg")</f>
        <v/>
      </c>
      <c r="G41" t="inlineStr">
        <is>
          <t>Anthony</t>
        </is>
      </c>
      <c r="H41" t="inlineStr">
        <is>
          <t>Ta</t>
        </is>
      </c>
      <c r="I41" t="inlineStr">
        <is>
          <t>Male</t>
        </is>
      </c>
      <c r="J41" t="n">
        <v>25</v>
      </c>
      <c r="K41" t="inlineStr">
        <is>
          <t>(408) 551-8190</t>
        </is>
      </c>
      <c r="L41" t="inlineStr">
        <is>
          <t>anthonyta502@gmail.com</t>
        </is>
      </c>
      <c r="M41" t="inlineStr">
        <is>
          <t>Tug-of-war</t>
        </is>
      </c>
      <c r="N41" t="inlineStr">
        <is>
          <t>Mixed</t>
        </is>
      </c>
      <c r="O41" t="inlineStr">
        <is>
          <t>Team</t>
        </is>
      </c>
      <c r="P41" t="inlineStr"/>
      <c r="Q41" t="inlineStr"/>
    </row>
    <row r="42">
      <c r="A42" t="inlineStr">
        <is>
          <t>GAC</t>
        </is>
      </c>
      <c r="B42" t="inlineStr">
        <is>
          <t>3618803</t>
        </is>
      </c>
      <c r="C42" t="inlineStr">
        <is>
          <t>47</t>
        </is>
      </c>
      <c r="D42" t="inlineStr">
        <is>
          <t>validated</t>
        </is>
      </c>
      <c r="E42" t="b">
        <v>1</v>
      </c>
      <c r="F42">
        <f>IMAGE("https://chmeetings.blob.core.windows.net/846969/attachments/8RaR3P2EW0W4gXH4RYhbTA/5ceea1d8-d408-4951-80f1-990d0318e7f1.jpg")</f>
        <v/>
      </c>
      <c r="G42" t="inlineStr">
        <is>
          <t>Brendan</t>
        </is>
      </c>
      <c r="H42" t="inlineStr">
        <is>
          <t>Chau</t>
        </is>
      </c>
      <c r="I42" t="inlineStr">
        <is>
          <t>Male</t>
        </is>
      </c>
      <c r="J42" t="n">
        <v>28</v>
      </c>
      <c r="K42" t="inlineStr">
        <is>
          <t>(408) 781-6867</t>
        </is>
      </c>
      <c r="L42" t="inlineStr">
        <is>
          <t>bvanchau35@gmail.com</t>
        </is>
      </c>
      <c r="M42" t="inlineStr">
        <is>
          <t>Volleyball</t>
        </is>
      </c>
      <c r="N42" t="inlineStr">
        <is>
          <t>Men</t>
        </is>
      </c>
      <c r="O42" t="inlineStr">
        <is>
          <t>Team</t>
        </is>
      </c>
      <c r="P42" t="inlineStr"/>
      <c r="Q42" t="inlineStr"/>
    </row>
    <row r="43">
      <c r="A43" t="inlineStr">
        <is>
          <t>GAC</t>
        </is>
      </c>
      <c r="B43" t="inlineStr">
        <is>
          <t>3610923</t>
        </is>
      </c>
      <c r="C43" t="inlineStr">
        <is>
          <t>44</t>
        </is>
      </c>
      <c r="D43" t="inlineStr">
        <is>
          <t>validated</t>
        </is>
      </c>
      <c r="E43" t="b">
        <v>1</v>
      </c>
      <c r="F43">
        <f>IMAGE("https://chmeetings.blob.core.windows.net/846969/attachments/AJjEeJ7FkyqVeAXFVXrlg/66768031-3472-431a-97e3-c4999286e61d.jpg")</f>
        <v/>
      </c>
      <c r="G43" t="inlineStr">
        <is>
          <t>Alexander</t>
        </is>
      </c>
      <c r="H43" t="inlineStr">
        <is>
          <t>Huynh</t>
        </is>
      </c>
      <c r="I43" t="inlineStr">
        <is>
          <t>Male</t>
        </is>
      </c>
      <c r="J43" t="n">
        <v>18</v>
      </c>
      <c r="K43" t="inlineStr">
        <is>
          <t>(510) 316-6941</t>
        </is>
      </c>
      <c r="L43" t="inlineStr">
        <is>
          <t>Evanassist@gmail.com</t>
        </is>
      </c>
      <c r="M43" t="inlineStr">
        <is>
          <t>Volleyball</t>
        </is>
      </c>
      <c r="N43" t="inlineStr">
        <is>
          <t>Men</t>
        </is>
      </c>
      <c r="O43" t="inlineStr">
        <is>
          <t>Team</t>
        </is>
      </c>
      <c r="P43" t="inlineStr"/>
      <c r="Q43" t="inlineStr"/>
    </row>
    <row r="44">
      <c r="A44" t="inlineStr">
        <is>
          <t>GAC</t>
        </is>
      </c>
      <c r="B44" t="inlineStr">
        <is>
          <t>3623145</t>
        </is>
      </c>
      <c r="C44" t="inlineStr">
        <is>
          <t>49</t>
        </is>
      </c>
      <c r="D44" t="inlineStr">
        <is>
          <t>pending</t>
        </is>
      </c>
      <c r="E44" t="b">
        <v>1</v>
      </c>
      <c r="F44">
        <f>IMAGE("https://chmeetings.blob.core.windows.net/846969/attachments/0thvFv8nzUSwHPFCj8rLmw/70d3cc8f-121f-41dd-afb3-47222f355027.jpg")</f>
        <v/>
      </c>
      <c r="G44" t="inlineStr">
        <is>
          <t>Elijah</t>
        </is>
      </c>
      <c r="H44" t="inlineStr">
        <is>
          <t>Nguyen</t>
        </is>
      </c>
      <c r="I44" t="inlineStr">
        <is>
          <t>Male</t>
        </is>
      </c>
      <c r="J44" t="n">
        <v>14</v>
      </c>
      <c r="K44" t="inlineStr">
        <is>
          <t>(408) 772-9825</t>
        </is>
      </c>
      <c r="L44" t="inlineStr">
        <is>
          <t>write2phuong2020@gmail.com</t>
        </is>
      </c>
      <c r="M44" t="inlineStr">
        <is>
          <t>Volleyball</t>
        </is>
      </c>
      <c r="N44" t="inlineStr">
        <is>
          <t>Men</t>
        </is>
      </c>
      <c r="O44" t="inlineStr">
        <is>
          <t>Team</t>
        </is>
      </c>
      <c r="P44" t="inlineStr"/>
      <c r="Q44" t="inlineStr"/>
    </row>
    <row r="45">
      <c r="A45" t="inlineStr">
        <is>
          <t>GAC</t>
        </is>
      </c>
      <c r="B45" t="inlineStr">
        <is>
          <t>4361937</t>
        </is>
      </c>
      <c r="C45" t="inlineStr">
        <is>
          <t>52</t>
        </is>
      </c>
      <c r="D45" t="inlineStr">
        <is>
          <t>pending</t>
        </is>
      </c>
      <c r="E45" t="b">
        <v>1</v>
      </c>
      <c r="F45">
        <f>IMAGE("https://chmeetings.blob.core.windows.net/846969/attachments/5Nf9EulpAEWOHqW7O8qfHw/1fee0c8c-28e9-4436-82ae-c417b47471af.jpg")</f>
        <v/>
      </c>
      <c r="G45" t="inlineStr">
        <is>
          <t>Isaiah</t>
        </is>
      </c>
      <c r="H45" t="inlineStr">
        <is>
          <t>Nguyen</t>
        </is>
      </c>
      <c r="I45" t="inlineStr">
        <is>
          <t>Male</t>
        </is>
      </c>
      <c r="J45" t="n">
        <v>12</v>
      </c>
      <c r="K45" t="inlineStr">
        <is>
          <t>(408) 772-9825</t>
        </is>
      </c>
      <c r="L45" t="inlineStr">
        <is>
          <t>Phuongluu22@yahoo.com</t>
        </is>
      </c>
      <c r="M45" t="inlineStr">
        <is>
          <t>Volleyball</t>
        </is>
      </c>
      <c r="N45" t="inlineStr">
        <is>
          <t>Men</t>
        </is>
      </c>
      <c r="O45" t="inlineStr">
        <is>
          <t>Team</t>
        </is>
      </c>
      <c r="P45" t="inlineStr"/>
      <c r="Q45" t="inlineStr"/>
    </row>
    <row r="46">
      <c r="A46" t="inlineStr">
        <is>
          <t>GAC</t>
        </is>
      </c>
      <c r="B46" t="inlineStr">
        <is>
          <t>3636819</t>
        </is>
      </c>
      <c r="C46" t="inlineStr">
        <is>
          <t>53</t>
        </is>
      </c>
      <c r="D46" t="inlineStr">
        <is>
          <t>validated</t>
        </is>
      </c>
      <c r="E46" t="b">
        <v>1</v>
      </c>
      <c r="F46">
        <f>IMAGE("https://chmeetings.blob.core.windows.net/846969/attachments/2EMW7UJtRk6APQ4qdfqDcA/cae1b6ba-c323-4927-8239-f131801812c4.jpg")</f>
        <v/>
      </c>
      <c r="G46" t="inlineStr">
        <is>
          <t>Jeremy</t>
        </is>
      </c>
      <c r="H46" t="inlineStr">
        <is>
          <t>OConnor</t>
        </is>
      </c>
      <c r="I46" t="inlineStr">
        <is>
          <t>Male</t>
        </is>
      </c>
      <c r="J46" t="n">
        <v>28</v>
      </c>
      <c r="K46" t="inlineStr">
        <is>
          <t>(408) 728-2130</t>
        </is>
      </c>
      <c r="L46" t="inlineStr">
        <is>
          <t>jeremyoc241@gmail.com</t>
        </is>
      </c>
      <c r="M46" t="inlineStr">
        <is>
          <t>Volleyball</t>
        </is>
      </c>
      <c r="N46" t="inlineStr">
        <is>
          <t>Men</t>
        </is>
      </c>
      <c r="O46" t="inlineStr">
        <is>
          <t>Team</t>
        </is>
      </c>
      <c r="P46" t="inlineStr"/>
      <c r="Q46" t="inlineStr"/>
    </row>
    <row r="47">
      <c r="A47" t="inlineStr">
        <is>
          <t>GAC</t>
        </is>
      </c>
      <c r="B47" t="inlineStr">
        <is>
          <t>3610919</t>
        </is>
      </c>
      <c r="C47" t="inlineStr">
        <is>
          <t>60</t>
        </is>
      </c>
      <c r="D47" t="inlineStr">
        <is>
          <t>pending</t>
        </is>
      </c>
      <c r="E47" t="b">
        <v>1</v>
      </c>
      <c r="F47">
        <f>IMAGE("https://chmeetings.blob.core.windows.net/846969/attachments/5eKHOYUtGk6OW2Yv9KYF7Q/38b6a312-42c2-45d1-bf6e-ff86f4ceeca3.jpg")</f>
        <v/>
      </c>
      <c r="G47" t="inlineStr">
        <is>
          <t>Noah</t>
        </is>
      </c>
      <c r="H47" t="inlineStr">
        <is>
          <t>Vo</t>
        </is>
      </c>
      <c r="I47" t="inlineStr">
        <is>
          <t>Male</t>
        </is>
      </c>
      <c r="J47" t="n">
        <v>16</v>
      </c>
      <c r="K47" t="inlineStr">
        <is>
          <t>(510) 605-8983</t>
        </is>
      </c>
      <c r="L47" t="inlineStr">
        <is>
          <t>noahhappysmiles@gmail.com</t>
        </is>
      </c>
      <c r="M47" t="inlineStr">
        <is>
          <t>Volleyball</t>
        </is>
      </c>
      <c r="N47" t="inlineStr">
        <is>
          <t>Men</t>
        </is>
      </c>
      <c r="O47" t="inlineStr">
        <is>
          <t>Team</t>
        </is>
      </c>
      <c r="P47" t="inlineStr"/>
      <c r="Q47" t="inlineStr"/>
    </row>
    <row r="48">
      <c r="A48" t="inlineStr">
        <is>
          <t>GAC</t>
        </is>
      </c>
      <c r="B48" t="inlineStr">
        <is>
          <t>4363700</t>
        </is>
      </c>
      <c r="C48" t="inlineStr">
        <is>
          <t>109</t>
        </is>
      </c>
      <c r="D48" t="inlineStr">
        <is>
          <t>validated</t>
        </is>
      </c>
      <c r="E48" t="b">
        <v>0</v>
      </c>
      <c r="F48">
        <f>IMAGE("https://chmeetings.blob.core.windows.net/846969/attachments/qTC9Uat4MUaxatcLkF0ToA/508040b5-57e0-45eb-af89-0ef09a49a069.jpg")</f>
        <v/>
      </c>
      <c r="G48" t="inlineStr">
        <is>
          <t>Marisa</t>
        </is>
      </c>
      <c r="H48" t="inlineStr">
        <is>
          <t>Ahmed</t>
        </is>
      </c>
      <c r="I48" t="inlineStr">
        <is>
          <t>Female</t>
        </is>
      </c>
      <c r="J48" t="n">
        <v>30</v>
      </c>
      <c r="K48" t="inlineStr">
        <is>
          <t>(408) 209-1904</t>
        </is>
      </c>
      <c r="L48" t="inlineStr">
        <is>
          <t>mmllahmed@gmail.com</t>
        </is>
      </c>
      <c r="M48" t="inlineStr">
        <is>
          <t>Volleyball</t>
        </is>
      </c>
      <c r="N48" t="inlineStr">
        <is>
          <t>Women</t>
        </is>
      </c>
      <c r="O48" t="inlineStr">
        <is>
          <t>Team</t>
        </is>
      </c>
      <c r="P48" t="inlineStr"/>
      <c r="Q48" t="inlineStr"/>
    </row>
    <row r="49">
      <c r="A49" t="inlineStr">
        <is>
          <t>GAC</t>
        </is>
      </c>
      <c r="B49" t="inlineStr">
        <is>
          <t>3639279</t>
        </is>
      </c>
      <c r="C49" t="inlineStr">
        <is>
          <t>51</t>
        </is>
      </c>
      <c r="D49" t="inlineStr">
        <is>
          <t>pending</t>
        </is>
      </c>
      <c r="E49" t="b">
        <v>1</v>
      </c>
      <c r="F49">
        <f>IMAGE("https://chmeetings.blob.core.windows.net/846969/attachments/B9YkQiCMUuEl7fhMqM94w/b0f466ec-8acd-4c6f-adef-e6a3339767c4.jpg")</f>
        <v/>
      </c>
      <c r="G49" t="inlineStr">
        <is>
          <t>Gavrielle</t>
        </is>
      </c>
      <c r="H49" t="inlineStr">
        <is>
          <t>Ha</t>
        </is>
      </c>
      <c r="I49" t="inlineStr">
        <is>
          <t>Female</t>
        </is>
      </c>
      <c r="J49" t="n">
        <v>13</v>
      </c>
      <c r="K49" t="inlineStr">
        <is>
          <t>(408) 332-1859</t>
        </is>
      </c>
      <c r="L49" t="inlineStr">
        <is>
          <t>Lovekountry2@gmail.com</t>
        </is>
      </c>
      <c r="M49" t="inlineStr">
        <is>
          <t>Volleyball</t>
        </is>
      </c>
      <c r="N49" t="inlineStr">
        <is>
          <t>Women</t>
        </is>
      </c>
      <c r="O49" t="inlineStr">
        <is>
          <t>Team</t>
        </is>
      </c>
      <c r="P49" t="inlineStr"/>
      <c r="Q49" t="inlineStr"/>
    </row>
    <row r="50">
      <c r="A50" t="inlineStr">
        <is>
          <t>GAC</t>
        </is>
      </c>
      <c r="B50" t="inlineStr">
        <is>
          <t>3610922</t>
        </is>
      </c>
      <c r="C50" t="inlineStr">
        <is>
          <t>59</t>
        </is>
      </c>
      <c r="D50" t="inlineStr">
        <is>
          <t>pending</t>
        </is>
      </c>
      <c r="E50" t="b">
        <v>1</v>
      </c>
      <c r="F50">
        <f>IMAGE("https://chmeetings.blob.core.windows.net/846969/attachments/vznt2lixkKeNUrklylAOQ/9b94be0d-392e-4d1e-99d0-3439fb73bcd7.jpg")</f>
        <v/>
      </c>
      <c r="G50" t="inlineStr">
        <is>
          <t>Natalie</t>
        </is>
      </c>
      <c r="H50" t="inlineStr">
        <is>
          <t>Huynh</t>
        </is>
      </c>
      <c r="I50" t="inlineStr">
        <is>
          <t>Female</t>
        </is>
      </c>
      <c r="J50" t="n">
        <v>17</v>
      </c>
      <c r="K50" t="inlineStr">
        <is>
          <t>(510) 316-6941</t>
        </is>
      </c>
      <c r="L50" t="inlineStr">
        <is>
          <t>Evanassist@gmail.com</t>
        </is>
      </c>
      <c r="M50" t="inlineStr">
        <is>
          <t>Volleyball</t>
        </is>
      </c>
      <c r="N50" t="inlineStr">
        <is>
          <t>Women</t>
        </is>
      </c>
      <c r="O50" t="inlineStr">
        <is>
          <t>Team</t>
        </is>
      </c>
      <c r="P50" t="inlineStr"/>
      <c r="Q50" t="inlineStr"/>
    </row>
    <row r="51">
      <c r="A51" t="inlineStr">
        <is>
          <t>GAC</t>
        </is>
      </c>
      <c r="B51" t="inlineStr">
        <is>
          <t>4361940</t>
        </is>
      </c>
      <c r="C51" t="inlineStr">
        <is>
          <t>54</t>
        </is>
      </c>
      <c r="D51" t="inlineStr">
        <is>
          <t>validated</t>
        </is>
      </c>
      <c r="E51" t="b">
        <v>0</v>
      </c>
      <c r="F51">
        <f>IMAGE("https://chmeetings.blob.core.windows.net/846969/attachments/O0vulBN2fEWjf0Xb50kUBg/56df1b2d-2da3-4c47-b78a-9a3753b58c1f.jpg")</f>
        <v/>
      </c>
      <c r="G51" t="inlineStr">
        <is>
          <t>Jill</t>
        </is>
      </c>
      <c r="H51" t="inlineStr">
        <is>
          <t>Mangawang</t>
        </is>
      </c>
      <c r="I51" t="inlineStr">
        <is>
          <t>Female</t>
        </is>
      </c>
      <c r="J51" t="n">
        <v>26</v>
      </c>
      <c r="K51" t="inlineStr">
        <is>
          <t>(650) 773-4162</t>
        </is>
      </c>
      <c r="L51" t="inlineStr">
        <is>
          <t>Jill.marjorie@yahoo.com</t>
        </is>
      </c>
      <c r="M51" t="inlineStr">
        <is>
          <t>Volleyball</t>
        </is>
      </c>
      <c r="N51" t="inlineStr">
        <is>
          <t>Women</t>
        </is>
      </c>
      <c r="O51" t="inlineStr">
        <is>
          <t>Team</t>
        </is>
      </c>
      <c r="P51" t="inlineStr"/>
      <c r="Q51" t="inlineStr"/>
    </row>
    <row r="52">
      <c r="A52" t="inlineStr">
        <is>
          <t>GAC</t>
        </is>
      </c>
      <c r="B52" t="inlineStr">
        <is>
          <t>3623148</t>
        </is>
      </c>
      <c r="C52" t="inlineStr">
        <is>
          <t>43</t>
        </is>
      </c>
      <c r="D52" t="inlineStr">
        <is>
          <t>pending</t>
        </is>
      </c>
      <c r="E52" t="b">
        <v>1</v>
      </c>
      <c r="F52">
        <f>IMAGE("https://chmeetings.blob.core.windows.net/846969/attachments/4mCxNo0K6gT61d20NBA/fcae834f-995c-404b-ac0d-725ca2e16255.jpg")</f>
        <v/>
      </c>
      <c r="G52" t="inlineStr">
        <is>
          <t>Abigail</t>
        </is>
      </c>
      <c r="H52" t="inlineStr">
        <is>
          <t>Ngo</t>
        </is>
      </c>
      <c r="I52" t="inlineStr">
        <is>
          <t>Female</t>
        </is>
      </c>
      <c r="J52" t="n">
        <v>17</v>
      </c>
      <c r="K52" t="inlineStr">
        <is>
          <t>(408) 394-9972</t>
        </is>
      </c>
      <c r="L52" t="inlineStr">
        <is>
          <t>abigailpearln@gmail.com</t>
        </is>
      </c>
      <c r="M52" t="inlineStr">
        <is>
          <t>Volleyball</t>
        </is>
      </c>
      <c r="N52" t="inlineStr">
        <is>
          <t>Women</t>
        </is>
      </c>
      <c r="O52" t="inlineStr">
        <is>
          <t>Team</t>
        </is>
      </c>
      <c r="P52" t="inlineStr"/>
      <c r="Q52" t="inlineStr"/>
    </row>
    <row r="53">
      <c r="A53" t="inlineStr">
        <is>
          <t>GAC</t>
        </is>
      </c>
      <c r="B53" t="inlineStr">
        <is>
          <t>4363701</t>
        </is>
      </c>
      <c r="C53" t="inlineStr">
        <is>
          <t>105</t>
        </is>
      </c>
      <c r="D53" t="inlineStr">
        <is>
          <t>pending</t>
        </is>
      </c>
      <c r="E53" t="b">
        <v>1</v>
      </c>
      <c r="F53">
        <f>IMAGE("https://chmeetings.blob.core.windows.net/846969/attachments/PE42ANWDEO4itEGSLic9A/c8d67430-bdd3-47dd-a724-f577a5d5e3e7.jpg")</f>
        <v/>
      </c>
      <c r="G53" t="inlineStr">
        <is>
          <t>Caitlin</t>
        </is>
      </c>
      <c r="H53" t="inlineStr">
        <is>
          <t>Tran</t>
        </is>
      </c>
      <c r="I53" t="inlineStr">
        <is>
          <t>Female</t>
        </is>
      </c>
      <c r="J53" t="n">
        <v>13</v>
      </c>
      <c r="K53" t="inlineStr">
        <is>
          <t>(408) 568-7264</t>
        </is>
      </c>
      <c r="L53" t="inlineStr">
        <is>
          <t>timltran2003@yahoo.com</t>
        </is>
      </c>
      <c r="M53" t="inlineStr">
        <is>
          <t>Volleyball</t>
        </is>
      </c>
      <c r="N53" t="inlineStr">
        <is>
          <t>Women</t>
        </is>
      </c>
      <c r="O53" t="inlineStr">
        <is>
          <t>Team</t>
        </is>
      </c>
      <c r="P53" t="inlineStr"/>
      <c r="Q53" t="inlineStr"/>
    </row>
    <row r="54">
      <c r="A54" t="inlineStr">
        <is>
          <t>GAC</t>
        </is>
      </c>
      <c r="B54" t="inlineStr">
        <is>
          <t>3610920</t>
        </is>
      </c>
      <c r="C54" t="inlineStr">
        <is>
          <t>45</t>
        </is>
      </c>
      <c r="D54" t="inlineStr">
        <is>
          <t>validated</t>
        </is>
      </c>
      <c r="E54" t="b">
        <v>1</v>
      </c>
      <c r="F54">
        <f>IMAGE("https://chmeetings.blob.core.windows.net/846969/attachments/OyWbdJyT5EixPoP3spOyLg/80becd09-3898-4d0b-a5a3-71310f9d20d4.jpg")</f>
        <v/>
      </c>
      <c r="G54" t="inlineStr">
        <is>
          <t>Aly</t>
        </is>
      </c>
      <c r="H54" t="inlineStr">
        <is>
          <t>Vo</t>
        </is>
      </c>
      <c r="I54" t="inlineStr">
        <is>
          <t>Female</t>
        </is>
      </c>
      <c r="J54" t="n">
        <v>18</v>
      </c>
      <c r="K54" t="inlineStr">
        <is>
          <t>(341) 227-8343</t>
        </is>
      </c>
      <c r="L54" t="inlineStr">
        <is>
          <t>Aly.vo29@gmail.com</t>
        </is>
      </c>
      <c r="M54" t="inlineStr">
        <is>
          <t>Volleyball</t>
        </is>
      </c>
      <c r="N54" t="inlineStr">
        <is>
          <t>Women</t>
        </is>
      </c>
      <c r="O54" t="inlineStr">
        <is>
          <t>Team</t>
        </is>
      </c>
      <c r="P54" t="inlineStr"/>
      <c r="Q54" t="inlineStr"/>
    </row>
    <row r="55">
      <c r="A55" t="inlineStr">
        <is>
          <t>GAC</t>
        </is>
      </c>
      <c r="B55" t="inlineStr">
        <is>
          <t>3610917</t>
        </is>
      </c>
      <c r="C55" t="inlineStr">
        <is>
          <t>56</t>
        </is>
      </c>
      <c r="D55" t="inlineStr">
        <is>
          <t>validated</t>
        </is>
      </c>
      <c r="E55" t="b">
        <v>1</v>
      </c>
      <c r="F55">
        <f>IMAGE("https://chmeetings.blob.core.windows.net/846969/attachments/dbPn6hwRbUmuEMeKWTNWxg/56cb0979-8b71-4c8e-9f5b-db9d018e400f.jpg")</f>
        <v/>
      </c>
      <c r="G55" t="inlineStr">
        <is>
          <t>Kayla</t>
        </is>
      </c>
      <c r="H55" t="inlineStr">
        <is>
          <t>Vo</t>
        </is>
      </c>
      <c r="I55" t="inlineStr">
        <is>
          <t>Female</t>
        </is>
      </c>
      <c r="J55" t="n">
        <v>19</v>
      </c>
      <c r="K55" t="inlineStr">
        <is>
          <t>(510) 774-2614</t>
        </is>
      </c>
      <c r="L55" t="inlineStr">
        <is>
          <t>kaimyvo@gmail.com</t>
        </is>
      </c>
      <c r="M55" t="inlineStr">
        <is>
          <t>Volleyball</t>
        </is>
      </c>
      <c r="N55" t="inlineStr">
        <is>
          <t>Women</t>
        </is>
      </c>
      <c r="O55" t="inlineStr">
        <is>
          <t>Team</t>
        </is>
      </c>
      <c r="P55" t="inlineStr"/>
      <c r="Q55" t="inlineStr"/>
    </row>
  </sheetData>
  <autoFilter ref="A1:Q5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9.5" customWidth="1" min="7" max="7"/>
    <col width="5" customWidth="1" min="8" max="8"/>
    <col width="9" customWidth="1" min="9" max="9"/>
    <col width="9" customWidth="1" min="10" max="10"/>
    <col width="15.5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3610916</t>
        </is>
      </c>
      <c r="C2" t="inlineStr">
        <is>
          <t>106</t>
        </is>
      </c>
      <c r="D2" t="inlineStr">
        <is>
          <t>validated</t>
        </is>
      </c>
      <c r="E2" t="b">
        <v>1</v>
      </c>
      <c r="F2">
        <f>IMAGE("https://chmeetings.blob.core.windows.net/846969/attachments/R2ULqwBOzEcfjGBlZ6NOg/e7732b7a-5531-4a12-957e-aaf157b04b52.jpg")</f>
        <v/>
      </c>
      <c r="G2" t="inlineStr">
        <is>
          <t>Nguyen Dung</t>
        </is>
      </c>
      <c r="H2" t="inlineStr">
        <is>
          <t>Male</t>
        </is>
      </c>
      <c r="I2" t="n">
        <v>34</v>
      </c>
      <c r="J2" t="inlineStr">
        <is>
          <t>(408) 816-9773</t>
        </is>
      </c>
      <c r="K2" t="inlineStr">
        <is>
          <t>Adn@duck.com</t>
        </is>
      </c>
      <c r="L2" t="inlineStr">
        <is>
          <t>Badminton</t>
        </is>
      </c>
      <c r="M2" t="inlineStr">
        <is>
          <t>Mixed</t>
        </is>
      </c>
      <c r="N2" t="inlineStr">
        <is>
          <t>Doubles</t>
        </is>
      </c>
      <c r="O2" t="inlineStr"/>
      <c r="P2" t="inlineStr">
        <is>
          <t>Nhi Nguyen</t>
        </is>
      </c>
    </row>
    <row r="3">
      <c r="A3" t="inlineStr">
        <is>
          <t>GAC</t>
        </is>
      </c>
      <c r="B3" t="inlineStr">
        <is>
          <t>4362356</t>
        </is>
      </c>
      <c r="C3" t="inlineStr">
        <is>
          <t>115</t>
        </is>
      </c>
      <c r="D3" t="inlineStr">
        <is>
          <t>validated</t>
        </is>
      </c>
      <c r="E3" t="b">
        <v>1</v>
      </c>
      <c r="F3">
        <f>IMAGE("https://chmeetings.blob.core.windows.net/846969/attachments/b2wuZtU20k6fS0QeesnJyQ/59603b15-0eb7-4a31-a342-a678670261a5.jpg")</f>
        <v/>
      </c>
      <c r="G3" t="inlineStr">
        <is>
          <t>Nguyen Truc Nhi</t>
        </is>
      </c>
      <c r="H3" t="inlineStr">
        <is>
          <t>Female</t>
        </is>
      </c>
      <c r="I3" t="n">
        <v>34</v>
      </c>
      <c r="J3" t="inlineStr">
        <is>
          <t>(408) 442-7876</t>
        </is>
      </c>
      <c r="K3" t="inlineStr">
        <is>
          <t>email.truc.nguyen@gmail.com</t>
        </is>
      </c>
      <c r="L3" t="inlineStr">
        <is>
          <t>Badminton</t>
        </is>
      </c>
      <c r="M3" t="inlineStr">
        <is>
          <t>Mixed</t>
        </is>
      </c>
      <c r="N3" t="inlineStr">
        <is>
          <t>Doubles</t>
        </is>
      </c>
      <c r="O3" t="inlineStr"/>
      <c r="P3" t="inlineStr">
        <is>
          <t>Dung Nguyen</t>
        </is>
      </c>
    </row>
    <row r="4">
      <c r="A4" t="inlineStr">
        <is>
          <t>GAC</t>
        </is>
      </c>
      <c r="B4" t="inlineStr">
        <is>
          <t>3615957</t>
        </is>
      </c>
      <c r="C4" t="inlineStr">
        <is>
          <t>110</t>
        </is>
      </c>
      <c r="D4" t="inlineStr">
        <is>
          <t>validated</t>
        </is>
      </c>
      <c r="E4" t="b">
        <v>1</v>
      </c>
      <c r="F4">
        <f>IMAGE("https://chmeetings.blob.core.windows.net/846969/attachments/Kdpjhjg39UmtS12V5Nbyyg/bbe6199a-c907-413d-b103-9e4128d54753.jpg")</f>
        <v/>
      </c>
      <c r="G4" t="inlineStr">
        <is>
          <t>Bui Minhthu</t>
        </is>
      </c>
      <c r="H4" t="inlineStr">
        <is>
          <t>Female</t>
        </is>
      </c>
      <c r="I4" t="n">
        <v>34</v>
      </c>
      <c r="J4" t="inlineStr">
        <is>
          <t>(714) 548-5798</t>
        </is>
      </c>
      <c r="K4" t="inlineStr">
        <is>
          <t>Mtbui03@gmail.com</t>
        </is>
      </c>
      <c r="L4" t="inlineStr">
        <is>
          <t>Badminton</t>
        </is>
      </c>
      <c r="M4" t="inlineStr">
        <is>
          <t>Women</t>
        </is>
      </c>
      <c r="N4" t="inlineStr">
        <is>
          <t>Doubles</t>
        </is>
      </c>
      <c r="O4" t="inlineStr"/>
      <c r="P4" t="inlineStr">
        <is>
          <t>Nhi Nguyen</t>
        </is>
      </c>
    </row>
    <row r="5">
      <c r="A5" t="inlineStr">
        <is>
          <t>GAC</t>
        </is>
      </c>
      <c r="B5" t="inlineStr">
        <is>
          <t>4362356</t>
        </is>
      </c>
      <c r="C5" t="inlineStr">
        <is>
          <t>115</t>
        </is>
      </c>
      <c r="D5" t="inlineStr">
        <is>
          <t>validated</t>
        </is>
      </c>
      <c r="E5" t="b">
        <v>1</v>
      </c>
      <c r="F5">
        <f>IMAGE("https://chmeetings.blob.core.windows.net/846969/attachments/b2wuZtU20k6fS0QeesnJyQ/59603b15-0eb7-4a31-a342-a678670261a5.jpg")</f>
        <v/>
      </c>
      <c r="G5" t="inlineStr">
        <is>
          <t>Nguyen Truc Nhi</t>
        </is>
      </c>
      <c r="H5" t="inlineStr">
        <is>
          <t>Female</t>
        </is>
      </c>
      <c r="I5" t="n">
        <v>34</v>
      </c>
      <c r="J5" t="inlineStr">
        <is>
          <t>(408) 442-7876</t>
        </is>
      </c>
      <c r="K5" t="inlineStr">
        <is>
          <t>email.truc.nguyen@gmail.com</t>
        </is>
      </c>
      <c r="L5" t="inlineStr">
        <is>
          <t>Badminton</t>
        </is>
      </c>
      <c r="M5" t="inlineStr">
        <is>
          <t>Women</t>
        </is>
      </c>
      <c r="N5" t="inlineStr">
        <is>
          <t>Doubles</t>
        </is>
      </c>
      <c r="O5" t="inlineStr"/>
      <c r="P5" t="inlineStr">
        <is>
          <t>Minh Thu Bui</t>
        </is>
      </c>
    </row>
  </sheetData>
  <autoFilter ref="A1:P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3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3618803</t>
        </is>
      </c>
      <c r="C2" t="inlineStr">
        <is>
          <t>47</t>
        </is>
      </c>
      <c r="D2" t="inlineStr">
        <is>
          <t>validated</t>
        </is>
      </c>
      <c r="E2" t="b">
        <v>1</v>
      </c>
      <c r="F2">
        <f>IMAGE("https://chmeetings.blob.core.windows.net/846969/attachments/8RaR3P2EW0W4gXH4RYhbTA/5ceea1d8-d408-4951-80f1-990d0318e7f1.jpg")</f>
        <v/>
      </c>
      <c r="G2" t="inlineStr">
        <is>
          <t>Chau Brendan</t>
        </is>
      </c>
      <c r="H2" t="inlineStr">
        <is>
          <t>Male</t>
        </is>
      </c>
      <c r="I2" t="n">
        <v>28</v>
      </c>
      <c r="J2" t="inlineStr">
        <is>
          <t>(408) 781-6867</t>
        </is>
      </c>
      <c r="K2" t="inlineStr">
        <is>
          <t>bvanchau35@gmail.com</t>
        </is>
      </c>
      <c r="L2" t="inlineStr">
        <is>
          <t>Basketball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4361952</t>
        </is>
      </c>
      <c r="C3" t="inlineStr">
        <is>
          <t>57</t>
        </is>
      </c>
      <c r="D3" t="inlineStr">
        <is>
          <t>pending</t>
        </is>
      </c>
      <c r="E3" t="b">
        <v>1</v>
      </c>
      <c r="F3">
        <f>IMAGE("https://chmeetings.blob.core.windows.net/846969/attachments/Hjxi9RYULUCBzV5lFGI92Q/b0ae99dc-29e8-4902-8dad-c2ffe54bf1b2.jpg")</f>
        <v/>
      </c>
      <c r="G3" t="inlineStr">
        <is>
          <t>Cisneros Michael</t>
        </is>
      </c>
      <c r="H3" t="inlineStr">
        <is>
          <t>Male</t>
        </is>
      </c>
      <c r="I3" t="n">
        <v>16</v>
      </c>
      <c r="J3" t="inlineStr">
        <is>
          <t>(925) 826-9988</t>
        </is>
      </c>
      <c r="K3" t="inlineStr">
        <is>
          <t>michael.cisneros03@icloud.com</t>
        </is>
      </c>
      <c r="L3" t="inlineStr">
        <is>
          <t>Basketball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3616069</t>
        </is>
      </c>
      <c r="C4" t="inlineStr">
        <is>
          <t>48</t>
        </is>
      </c>
      <c r="D4" t="inlineStr">
        <is>
          <t>validated</t>
        </is>
      </c>
      <c r="E4" t="b">
        <v>1</v>
      </c>
      <c r="F4">
        <f>IMAGE("https://chmeetings.blob.core.windows.net/846969/attachments/O8QD4sgd0CUWG0wYocsQ/50c2d27b-96d9-4dc3-8835-56e05b828e31.jpg")</f>
        <v/>
      </c>
      <c r="G4" t="inlineStr">
        <is>
          <t>Le Brian</t>
        </is>
      </c>
      <c r="H4" t="inlineStr">
        <is>
          <t>Male</t>
        </is>
      </c>
      <c r="I4" t="n">
        <v>26</v>
      </c>
      <c r="J4" t="inlineStr">
        <is>
          <t>(669) 255-1182</t>
        </is>
      </c>
      <c r="K4" t="inlineStr">
        <is>
          <t>lebrian0708@gmail.com</t>
        </is>
      </c>
      <c r="L4" t="inlineStr">
        <is>
          <t>Basketball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3623145</t>
        </is>
      </c>
      <c r="C5" t="inlineStr">
        <is>
          <t>49</t>
        </is>
      </c>
      <c r="D5" t="inlineStr">
        <is>
          <t>pending</t>
        </is>
      </c>
      <c r="E5" t="b">
        <v>1</v>
      </c>
      <c r="F5">
        <f>IMAGE("https://chmeetings.blob.core.windows.net/846969/attachments/0thvFv8nzUSwHPFCj8rLmw/70d3cc8f-121f-41dd-afb3-47222f355027.jpg")</f>
        <v/>
      </c>
      <c r="G5" t="inlineStr">
        <is>
          <t>Nguyen Elijah</t>
        </is>
      </c>
      <c r="H5" t="inlineStr">
        <is>
          <t>Male</t>
        </is>
      </c>
      <c r="I5" t="n">
        <v>14</v>
      </c>
      <c r="J5" t="inlineStr">
        <is>
          <t>(408) 772-9825</t>
        </is>
      </c>
      <c r="K5" t="inlineStr">
        <is>
          <t>write2phuong2020@gmail.com</t>
        </is>
      </c>
      <c r="L5" t="inlineStr">
        <is>
          <t>Basketball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GAC</t>
        </is>
      </c>
      <c r="B6" t="inlineStr">
        <is>
          <t>3618805</t>
        </is>
      </c>
      <c r="C6" t="inlineStr">
        <is>
          <t>58</t>
        </is>
      </c>
      <c r="D6" t="inlineStr">
        <is>
          <t>validated</t>
        </is>
      </c>
      <c r="E6" t="b">
        <v>1</v>
      </c>
      <c r="F6">
        <f>IMAGE("https://chmeetings.blob.core.windows.net/846969/attachments/LTROBmGRkCWpy8F2k5MTw/da39bbfc-1e59-4f38-adaf-49a6ca09829b.jpg")</f>
        <v/>
      </c>
      <c r="G6" t="inlineStr">
        <is>
          <t>Nguyen Michael</t>
        </is>
      </c>
      <c r="H6" t="inlineStr">
        <is>
          <t>Male</t>
        </is>
      </c>
      <c r="I6" t="n">
        <v>23</v>
      </c>
      <c r="J6" t="inlineStr">
        <is>
          <t>(408) 609-6205</t>
        </is>
      </c>
      <c r="K6" t="inlineStr">
        <is>
          <t>michaelthonguyen@gmail.com</t>
        </is>
      </c>
      <c r="L6" t="inlineStr">
        <is>
          <t>Basketball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GAC</t>
        </is>
      </c>
      <c r="B7" t="inlineStr">
        <is>
          <t>3636819</t>
        </is>
      </c>
      <c r="C7" t="inlineStr">
        <is>
          <t>53</t>
        </is>
      </c>
      <c r="D7" t="inlineStr">
        <is>
          <t>validated</t>
        </is>
      </c>
      <c r="E7" t="b">
        <v>1</v>
      </c>
      <c r="F7">
        <f>IMAGE("https://chmeetings.blob.core.windows.net/846969/attachments/2EMW7UJtRk6APQ4qdfqDcA/cae1b6ba-c323-4927-8239-f131801812c4.jpg")</f>
        <v/>
      </c>
      <c r="G7" t="inlineStr">
        <is>
          <t>OConnor Jeremy</t>
        </is>
      </c>
      <c r="H7" t="inlineStr">
        <is>
          <t>Male</t>
        </is>
      </c>
      <c r="I7" t="n">
        <v>28</v>
      </c>
      <c r="J7" t="inlineStr">
        <is>
          <t>(408) 728-2130</t>
        </is>
      </c>
      <c r="K7" t="inlineStr">
        <is>
          <t>jeremyoc241@gmail.com</t>
        </is>
      </c>
      <c r="L7" t="inlineStr">
        <is>
          <t>Basketball</t>
        </is>
      </c>
      <c r="M7" t="inlineStr">
        <is>
          <t>Mixed</t>
        </is>
      </c>
      <c r="N7" t="inlineStr">
        <is>
          <t>Team</t>
        </is>
      </c>
      <c r="O7" t="inlineStr"/>
      <c r="P7" t="inlineStr"/>
    </row>
    <row r="8">
      <c r="A8" t="inlineStr">
        <is>
          <t>GAC</t>
        </is>
      </c>
      <c r="B8" t="inlineStr">
        <is>
          <t>3615948</t>
        </is>
      </c>
      <c r="C8" t="inlineStr">
        <is>
          <t>46</t>
        </is>
      </c>
      <c r="D8" t="inlineStr">
        <is>
          <t>validated</t>
        </is>
      </c>
      <c r="E8" t="b">
        <v>1</v>
      </c>
      <c r="F8">
        <f>IMAGE("https://chmeetings.blob.core.windows.net/846969/attachments/jl2i4eVeYECLBJcTyk7tA/55b9f204-7df3-4ccf-ba35-08d5400d946c.jpg")</f>
        <v/>
      </c>
      <c r="G8" t="inlineStr">
        <is>
          <t>Ta Anthony</t>
        </is>
      </c>
      <c r="H8" t="inlineStr">
        <is>
          <t>Male</t>
        </is>
      </c>
      <c r="I8" t="n">
        <v>25</v>
      </c>
      <c r="J8" t="inlineStr">
        <is>
          <t>(408) 551-8190</t>
        </is>
      </c>
      <c r="K8" t="inlineStr">
        <is>
          <t>anthonyta502@gmail.com</t>
        </is>
      </c>
      <c r="L8" t="inlineStr">
        <is>
          <t>Basketball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</sheetData>
  <autoFilter ref="A1:P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5" customWidth="1" min="8" max="8"/>
    <col width="9" customWidth="1" min="9" max="9"/>
    <col width="9" customWidth="1" min="10" max="10"/>
    <col width="10.5" customWidth="1" min="11" max="11"/>
    <col width="9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3615957</t>
        </is>
      </c>
      <c r="C2" t="inlineStr">
        <is>
          <t>110</t>
        </is>
      </c>
      <c r="D2" t="inlineStr">
        <is>
          <t>validated</t>
        </is>
      </c>
      <c r="E2" t="b">
        <v>1</v>
      </c>
      <c r="F2">
        <f>IMAGE("https://chmeetings.blob.core.windows.net/846969/attachments/Kdpjhjg39UmtS12V5Nbyyg/bbe6199a-c907-413d-b103-9e4128d54753.jpg")</f>
        <v/>
      </c>
      <c r="G2" t="inlineStr">
        <is>
          <t>Bui Minhthu</t>
        </is>
      </c>
      <c r="H2" t="inlineStr">
        <is>
          <t>Female</t>
        </is>
      </c>
      <c r="I2" t="n">
        <v>34</v>
      </c>
      <c r="J2" t="inlineStr">
        <is>
          <t>(714) 548-5798</t>
        </is>
      </c>
      <c r="K2" t="inlineStr">
        <is>
          <t>Mtbui03@gmail.com</t>
        </is>
      </c>
      <c r="L2" t="inlineStr">
        <is>
          <t>Bible Challenge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3624650</t>
        </is>
      </c>
      <c r="C3" t="inlineStr">
        <is>
          <t>113</t>
        </is>
      </c>
      <c r="D3" t="inlineStr">
        <is>
          <t>validated</t>
        </is>
      </c>
      <c r="E3" t="b">
        <v>1</v>
      </c>
      <c r="F3">
        <f>IMAGE("https://chmeetings.blob.core.windows.net/846969/attachments/WE2MhiU60KpfrwsRDOWw/80708536-016c-42fa-95f4-079cf3a43697.jpg")</f>
        <v/>
      </c>
      <c r="G3" t="inlineStr">
        <is>
          <t>Nguyen Tiffany</t>
        </is>
      </c>
      <c r="H3" t="inlineStr">
        <is>
          <t>Female</t>
        </is>
      </c>
      <c r="I3" t="n">
        <v>21</v>
      </c>
      <c r="J3" t="inlineStr">
        <is>
          <t>(669) 215-5720</t>
        </is>
      </c>
      <c r="K3" t="inlineStr">
        <is>
          <t>tiffanyashlyn@gmail.com</t>
        </is>
      </c>
      <c r="L3" t="inlineStr">
        <is>
          <t>Bible Challenge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3610917</t>
        </is>
      </c>
      <c r="C4" t="inlineStr">
        <is>
          <t>56</t>
        </is>
      </c>
      <c r="D4" t="inlineStr">
        <is>
          <t>validated</t>
        </is>
      </c>
      <c r="E4" t="b">
        <v>1</v>
      </c>
      <c r="F4">
        <f>IMAGE("https://chmeetings.blob.core.windows.net/846969/attachments/dbPn6hwRbUmuEMeKWTNWxg/56cb0979-8b71-4c8e-9f5b-db9d018e400f.jpg")</f>
        <v/>
      </c>
      <c r="G4" t="inlineStr">
        <is>
          <t>Vo Kayla</t>
        </is>
      </c>
      <c r="H4" t="inlineStr">
        <is>
          <t>Female</t>
        </is>
      </c>
      <c r="I4" t="n">
        <v>19</v>
      </c>
      <c r="J4" t="inlineStr">
        <is>
          <t>(510) 774-2614</t>
        </is>
      </c>
      <c r="K4" t="inlineStr">
        <is>
          <t>kaimyvo@gmail.com</t>
        </is>
      </c>
      <c r="L4" t="inlineStr">
        <is>
          <t>Bible Challenge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</sheetData>
  <autoFilter ref="A1:P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" customWidth="1" min="7" max="7"/>
    <col width="5" customWidth="1" min="8" max="8"/>
    <col width="9" customWidth="1" min="9" max="9"/>
    <col width="9" customWidth="1" min="10" max="10"/>
    <col width="11" customWidth="1" min="11" max="11"/>
    <col width="7" customWidth="1" min="12" max="12"/>
    <col width="8" customWidth="1" min="13" max="13"/>
    <col width="5.5" customWidth="1" min="14" max="14"/>
    <col width="7" customWidth="1" min="15" max="15"/>
    <col width="5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3615958</t>
        </is>
      </c>
      <c r="C2" t="inlineStr">
        <is>
          <t>107</t>
        </is>
      </c>
      <c r="D2" t="inlineStr">
        <is>
          <t>validated</t>
        </is>
      </c>
      <c r="E2" t="b">
        <v>1</v>
      </c>
      <c r="F2">
        <f>IMAGE("https://chmeetings.blob.core.windows.net/846969/attachments/qPojkJbp4kmvCBQqd9r3Hw/09507491-ec10-4228-9164-6ed0669cc6b3.jpg")</f>
        <v/>
      </c>
      <c r="G2" t="inlineStr">
        <is>
          <t>Sauveur Jamie</t>
        </is>
      </c>
      <c r="H2" t="inlineStr">
        <is>
          <t>Male</t>
        </is>
      </c>
      <c r="I2" t="n">
        <v>29</v>
      </c>
      <c r="J2" t="inlineStr">
        <is>
          <t>(408) 605-7288</t>
        </is>
      </c>
      <c r="K2" t="inlineStr">
        <is>
          <t>jamieboy97@gmail.com</t>
        </is>
      </c>
      <c r="L2" t="inlineStr">
        <is>
          <t>Pickleball</t>
        </is>
      </c>
      <c r="M2" t="inlineStr">
        <is>
          <t>Mixed</t>
        </is>
      </c>
      <c r="N2" t="inlineStr">
        <is>
          <t>Doubles</t>
        </is>
      </c>
      <c r="O2" t="inlineStr"/>
      <c r="P2" t="inlineStr">
        <is>
          <t>Vivian Tran</t>
        </is>
      </c>
    </row>
    <row r="3">
      <c r="A3" t="inlineStr">
        <is>
          <t>GAC</t>
        </is>
      </c>
      <c r="B3" t="inlineStr">
        <is>
          <t>3476612</t>
        </is>
      </c>
      <c r="C3" t="inlineStr">
        <is>
          <t>116</t>
        </is>
      </c>
      <c r="D3" t="inlineStr">
        <is>
          <t>validated</t>
        </is>
      </c>
      <c r="E3" t="b">
        <v>1</v>
      </c>
      <c r="F3">
        <f>IMAGE("https://chmeetings.blob.core.windows.net/846969/attachments/Yp0fusxU7UaOh8VIZqAdA/caa141b9-5524-474e-80b6-679f3fc1d845.jpg")</f>
        <v/>
      </c>
      <c r="G3" t="inlineStr">
        <is>
          <t>Tran Vivian</t>
        </is>
      </c>
      <c r="H3" t="inlineStr">
        <is>
          <t>Female</t>
        </is>
      </c>
      <c r="I3" t="n">
        <v>23</v>
      </c>
      <c r="J3" t="inlineStr">
        <is>
          <t>(916) 272-5979</t>
        </is>
      </c>
      <c r="K3" t="inlineStr">
        <is>
          <t>Viviantrvnn@gmail.com</t>
        </is>
      </c>
      <c r="L3" t="inlineStr">
        <is>
          <t>Pickleball</t>
        </is>
      </c>
      <c r="M3" t="inlineStr">
        <is>
          <t>Mixed</t>
        </is>
      </c>
      <c r="N3" t="inlineStr">
        <is>
          <t>Doubles</t>
        </is>
      </c>
      <c r="O3" t="inlineStr"/>
      <c r="P3" t="inlineStr">
        <is>
          <t>Jamie S</t>
        </is>
      </c>
    </row>
    <row r="4">
      <c r="A4" t="inlineStr">
        <is>
          <t>GAC</t>
        </is>
      </c>
      <c r="B4" t="inlineStr">
        <is>
          <t>3610920</t>
        </is>
      </c>
      <c r="C4" t="inlineStr">
        <is>
          <t>45</t>
        </is>
      </c>
      <c r="D4" t="inlineStr">
        <is>
          <t>validated</t>
        </is>
      </c>
      <c r="E4" t="b">
        <v>1</v>
      </c>
      <c r="F4">
        <f>IMAGE("https://chmeetings.blob.core.windows.net/846969/attachments/OyWbdJyT5EixPoP3spOyLg/80becd09-3898-4d0b-a5a3-71310f9d20d4.jpg")</f>
        <v/>
      </c>
      <c r="G4" t="inlineStr">
        <is>
          <t>Vo Aly</t>
        </is>
      </c>
      <c r="H4" t="inlineStr">
        <is>
          <t>Female</t>
        </is>
      </c>
      <c r="I4" t="n">
        <v>18</v>
      </c>
      <c r="J4" t="inlineStr">
        <is>
          <t>(341) 227-8343</t>
        </is>
      </c>
      <c r="K4" t="inlineStr">
        <is>
          <t>Aly.vo29@gmail.com</t>
        </is>
      </c>
      <c r="L4" t="inlineStr">
        <is>
          <t>Pickleball</t>
        </is>
      </c>
      <c r="M4" t="inlineStr">
        <is>
          <t>Mixed</t>
        </is>
      </c>
      <c r="N4" t="inlineStr">
        <is>
          <t>Doubles</t>
        </is>
      </c>
      <c r="O4" t="inlineStr"/>
      <c r="P4" t="inlineStr">
        <is>
          <t>King Vo</t>
        </is>
      </c>
    </row>
  </sheetData>
  <autoFilter ref="A1:P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4" customWidth="1" min="8" max="8"/>
    <col width="9" customWidth="1" min="9" max="9"/>
    <col width="9" customWidth="1" min="10" max="10"/>
    <col width="13.5" customWidth="1" min="11" max="11"/>
    <col width="9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3606104</t>
        </is>
      </c>
      <c r="C2" t="inlineStr">
        <is>
          <t>50</t>
        </is>
      </c>
      <c r="D2" t="inlineStr">
        <is>
          <t>validated</t>
        </is>
      </c>
      <c r="E2" t="b">
        <v>1</v>
      </c>
      <c r="F2">
        <f>IMAGE("https://chmeetings.blob.core.windows.net/846969/attachments/KN60GvBKJ0qRFQGEtYPMA/f0b82a94-8de5-49f2-bf74-75300a92c050.jpg")</f>
        <v/>
      </c>
      <c r="G2" t="inlineStr">
        <is>
          <t>Nguyen Eric</t>
        </is>
      </c>
      <c r="H2" t="inlineStr">
        <is>
          <t>Male</t>
        </is>
      </c>
      <c r="I2" t="n">
        <v>42</v>
      </c>
      <c r="J2" t="inlineStr">
        <is>
          <t>(562) 728-3782</t>
        </is>
      </c>
      <c r="K2" t="inlineStr">
        <is>
          <t>eric.t.nguyen@gmail.com</t>
        </is>
      </c>
      <c r="L2" t="inlineStr">
        <is>
          <t>Pickleball 35+</t>
        </is>
      </c>
      <c r="M2" t="inlineStr">
        <is>
          <t>Mixed</t>
        </is>
      </c>
      <c r="N2" t="inlineStr">
        <is>
          <t>Doubles</t>
        </is>
      </c>
      <c r="O2" t="inlineStr"/>
      <c r="P2" t="inlineStr">
        <is>
          <t>Ruthi Nguyen</t>
        </is>
      </c>
    </row>
  </sheetData>
  <autoFilter ref="A1:P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9" customWidth="1" min="7" max="7"/>
    <col width="4" customWidth="1" min="8" max="8"/>
    <col width="9" customWidth="1" min="9" max="9"/>
    <col width="9" customWidth="1" min="10" max="10"/>
    <col width="12.5" customWidth="1" min="11" max="11"/>
    <col width="13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4361952</t>
        </is>
      </c>
      <c r="C2" t="inlineStr">
        <is>
          <t>57</t>
        </is>
      </c>
      <c r="D2" t="inlineStr">
        <is>
          <t>pending</t>
        </is>
      </c>
      <c r="E2" t="b">
        <v>1</v>
      </c>
      <c r="F2">
        <f>IMAGE("https://chmeetings.blob.core.windows.net/846969/attachments/Hjxi9RYULUCBzV5lFGI92Q/b0ae99dc-29e8-4902-8dad-c2ffe54bf1b2.jpg")</f>
        <v/>
      </c>
      <c r="G2" t="inlineStr">
        <is>
          <t>Cisneros Michael</t>
        </is>
      </c>
      <c r="H2" t="inlineStr">
        <is>
          <t>Male</t>
        </is>
      </c>
      <c r="I2" t="n">
        <v>16</v>
      </c>
      <c r="J2" t="inlineStr">
        <is>
          <t>(925) 826-9988</t>
        </is>
      </c>
      <c r="K2" t="inlineStr">
        <is>
          <t>michael.cisneros03@icloud.com</t>
        </is>
      </c>
      <c r="L2" t="inlineStr">
        <is>
          <t>Scripture Memorization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3636819</t>
        </is>
      </c>
      <c r="C3" t="inlineStr">
        <is>
          <t>53</t>
        </is>
      </c>
      <c r="D3" t="inlineStr">
        <is>
          <t>validated</t>
        </is>
      </c>
      <c r="E3" t="b">
        <v>1</v>
      </c>
      <c r="F3">
        <f>IMAGE("https://chmeetings.blob.core.windows.net/846969/attachments/2EMW7UJtRk6APQ4qdfqDcA/cae1b6ba-c323-4927-8239-f131801812c4.jpg")</f>
        <v/>
      </c>
      <c r="G3" t="inlineStr">
        <is>
          <t>OConnor Jeremy</t>
        </is>
      </c>
      <c r="H3" t="inlineStr">
        <is>
          <t>Male</t>
        </is>
      </c>
      <c r="I3" t="n">
        <v>28</v>
      </c>
      <c r="J3" t="inlineStr">
        <is>
          <t>(408) 728-2130</t>
        </is>
      </c>
      <c r="K3" t="inlineStr">
        <is>
          <t>jeremyoc241@gmail.com</t>
        </is>
      </c>
      <c r="L3" t="inlineStr">
        <is>
          <t>Scripture Memorization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5" customWidth="1" min="8" max="8"/>
    <col width="9" customWidth="1" min="9" max="9"/>
    <col width="9" customWidth="1" min="10" max="10"/>
    <col width="10.5" customWidth="1" min="11" max="11"/>
    <col width="14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4363695</t>
        </is>
      </c>
      <c r="C2" t="inlineStr">
        <is>
          <t>112</t>
        </is>
      </c>
      <c r="D2" t="inlineStr">
        <is>
          <t>validated</t>
        </is>
      </c>
      <c r="E2" t="b">
        <v>1</v>
      </c>
      <c r="F2">
        <f>IMAGE("https://chmeetings.blob.core.windows.net/846969/attachments/BINhgC34TECifThOttOVlQ/04fe1f84-53cd-41d0-a989-73440f1470ff.jpg")</f>
        <v/>
      </c>
      <c r="G2" t="inlineStr">
        <is>
          <t>Nguyen Thinh</t>
        </is>
      </c>
      <c r="H2" t="inlineStr">
        <is>
          <t>Male</t>
        </is>
      </c>
      <c r="I2" t="n">
        <v>24</v>
      </c>
      <c r="J2" t="inlineStr">
        <is>
          <t>(206) 581-7487</t>
        </is>
      </c>
      <c r="K2" t="inlineStr">
        <is>
          <t>mthinhngn@gmail.com</t>
        </is>
      </c>
      <c r="L2" t="inlineStr">
        <is>
          <t>Soccer - Coed Exhibition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3615948</t>
        </is>
      </c>
      <c r="C3" t="inlineStr">
        <is>
          <t>46</t>
        </is>
      </c>
      <c r="D3" t="inlineStr">
        <is>
          <t>validated</t>
        </is>
      </c>
      <c r="E3" t="b">
        <v>1</v>
      </c>
      <c r="F3">
        <f>IMAGE("https://chmeetings.blob.core.windows.net/846969/attachments/jl2i4eVeYECLBJcTyk7tA/55b9f204-7df3-4ccf-ba35-08d5400d946c.jpg")</f>
        <v/>
      </c>
      <c r="G3" t="inlineStr">
        <is>
          <t>Ta Anthony</t>
        </is>
      </c>
      <c r="H3" t="inlineStr">
        <is>
          <t>Male</t>
        </is>
      </c>
      <c r="I3" t="n">
        <v>25</v>
      </c>
      <c r="J3" t="inlineStr">
        <is>
          <t>(408) 551-8190</t>
        </is>
      </c>
      <c r="K3" t="inlineStr">
        <is>
          <t>anthonyta502@gmail.com</t>
        </is>
      </c>
      <c r="L3" t="inlineStr">
        <is>
          <t>Soccer - Coed Exhibition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3610920</t>
        </is>
      </c>
      <c r="C4" t="inlineStr">
        <is>
          <t>45</t>
        </is>
      </c>
      <c r="D4" t="inlineStr">
        <is>
          <t>validated</t>
        </is>
      </c>
      <c r="E4" t="b">
        <v>1</v>
      </c>
      <c r="F4">
        <f>IMAGE("https://chmeetings.blob.core.windows.net/846969/attachments/OyWbdJyT5EixPoP3spOyLg/80becd09-3898-4d0b-a5a3-71310f9d20d4.jpg")</f>
        <v/>
      </c>
      <c r="G4" t="inlineStr">
        <is>
          <t>Vo Aly</t>
        </is>
      </c>
      <c r="H4" t="inlineStr">
        <is>
          <t>Female</t>
        </is>
      </c>
      <c r="I4" t="n">
        <v>18</v>
      </c>
      <c r="J4" t="inlineStr">
        <is>
          <t>(341) 227-8343</t>
        </is>
      </c>
      <c r="K4" t="inlineStr">
        <is>
          <t>Aly.vo29@gmail.com</t>
        </is>
      </c>
      <c r="L4" t="inlineStr">
        <is>
          <t>Soccer - Coed Exhibition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3610917</t>
        </is>
      </c>
      <c r="C5" t="inlineStr">
        <is>
          <t>56</t>
        </is>
      </c>
      <c r="D5" t="inlineStr">
        <is>
          <t>validated</t>
        </is>
      </c>
      <c r="E5" t="b">
        <v>1</v>
      </c>
      <c r="F5">
        <f>IMAGE("https://chmeetings.blob.core.windows.net/846969/attachments/dbPn6hwRbUmuEMeKWTNWxg/56cb0979-8b71-4c8e-9f5b-db9d018e400f.jpg")</f>
        <v/>
      </c>
      <c r="G5" t="inlineStr">
        <is>
          <t>Vo Kayla</t>
        </is>
      </c>
      <c r="H5" t="inlineStr">
        <is>
          <t>Female</t>
        </is>
      </c>
      <c r="I5" t="n">
        <v>19</v>
      </c>
      <c r="J5" t="inlineStr">
        <is>
          <t>(510) 774-2614</t>
        </is>
      </c>
      <c r="K5" t="inlineStr">
        <is>
          <t>kaimyvo@gmail.com</t>
        </is>
      </c>
      <c r="L5" t="inlineStr">
        <is>
          <t>Soccer - Coed Exhibition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</sheetData>
  <autoFilter ref="A1:P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.5" customWidth="1" min="7" max="7"/>
    <col width="4" customWidth="1" min="8" max="8"/>
    <col width="9" customWidth="1" min="9" max="9"/>
    <col width="9" customWidth="1" min="10" max="10"/>
    <col width="14.5" customWidth="1" min="11" max="11"/>
    <col width="8" customWidth="1" min="12" max="12"/>
    <col width="8" customWidth="1" min="13" max="13"/>
    <col width="5.5" customWidth="1" min="14" max="14"/>
    <col width="7" customWidth="1" min="15" max="15"/>
    <col width="6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3610915</t>
        </is>
      </c>
      <c r="C2" t="inlineStr">
        <is>
          <t>55</t>
        </is>
      </c>
      <c r="D2" t="inlineStr">
        <is>
          <t>validated</t>
        </is>
      </c>
      <c r="E2" t="b">
        <v>1</v>
      </c>
      <c r="F2">
        <f>IMAGE("https://chmeetings.blob.core.windows.net/846969/attachments/4FXwXlnpfkCUWrqQHd3hyA/e34c034d-999f-4910-8e93-b20c75a2480d.jpg")</f>
        <v/>
      </c>
      <c r="G2" t="inlineStr">
        <is>
          <t>Dang Joshua</t>
        </is>
      </c>
      <c r="H2" t="inlineStr">
        <is>
          <t>Male</t>
        </is>
      </c>
      <c r="I2" t="n">
        <v>20</v>
      </c>
      <c r="J2" t="inlineStr">
        <is>
          <t>(669) 207-9451</t>
        </is>
      </c>
      <c r="K2" t="inlineStr">
        <is>
          <t>joshdang336@gmail.com</t>
        </is>
      </c>
      <c r="L2" t="inlineStr">
        <is>
          <t>Table Tennis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Noah Vo</t>
        </is>
      </c>
    </row>
    <row r="3">
      <c r="A3" t="inlineStr">
        <is>
          <t>GAC</t>
        </is>
      </c>
      <c r="B3" t="inlineStr">
        <is>
          <t>3610915</t>
        </is>
      </c>
      <c r="C3" t="inlineStr">
        <is>
          <t>55</t>
        </is>
      </c>
      <c r="D3" t="inlineStr">
        <is>
          <t>validated</t>
        </is>
      </c>
      <c r="E3" t="b">
        <v>1</v>
      </c>
      <c r="F3">
        <f>IMAGE("https://chmeetings.blob.core.windows.net/846969/attachments/4FXwXlnpfkCUWrqQHd3hyA/e34c034d-999f-4910-8e93-b20c75a2480d.jpg")</f>
        <v/>
      </c>
      <c r="G3" t="inlineStr">
        <is>
          <t>Dang Joshua</t>
        </is>
      </c>
      <c r="H3" t="inlineStr">
        <is>
          <t>Male</t>
        </is>
      </c>
      <c r="I3" t="n">
        <v>20</v>
      </c>
      <c r="J3" t="inlineStr">
        <is>
          <t>(669) 207-9451</t>
        </is>
      </c>
      <c r="K3" t="inlineStr">
        <is>
          <t>joshdang336@gmail.com</t>
        </is>
      </c>
      <c r="L3" t="inlineStr">
        <is>
          <t>Table Tennis</t>
        </is>
      </c>
      <c r="M3" t="inlineStr">
        <is>
          <t>Men</t>
        </is>
      </c>
      <c r="N3" t="inlineStr">
        <is>
          <t>Singles</t>
        </is>
      </c>
      <c r="O3" t="inlineStr"/>
      <c r="P3" t="inlineStr"/>
    </row>
    <row r="4">
      <c r="A4" t="inlineStr">
        <is>
          <t>GAC</t>
        </is>
      </c>
      <c r="B4" t="inlineStr">
        <is>
          <t>3610918</t>
        </is>
      </c>
      <c r="C4" t="inlineStr">
        <is>
          <t>108</t>
        </is>
      </c>
      <c r="D4" t="inlineStr">
        <is>
          <t>pending</t>
        </is>
      </c>
      <c r="E4" t="b">
        <v>1</v>
      </c>
      <c r="F4">
        <f>IMAGE("https://chmeetings.blob.core.windows.net/846969/attachments/EGfLYzrf4UuvbrSrl3fCuQ/a15519c8-561a-4090-ae77-e8e26bc544a0.jpg")</f>
        <v/>
      </c>
      <c r="G4" t="inlineStr">
        <is>
          <t>Pham Justtin</t>
        </is>
      </c>
      <c r="H4" t="inlineStr">
        <is>
          <t>Male</t>
        </is>
      </c>
      <c r="I4" t="n">
        <v>15</v>
      </c>
      <c r="J4" t="inlineStr">
        <is>
          <t>(925) 406-9096</t>
        </is>
      </c>
      <c r="K4" t="inlineStr">
        <is>
          <t>justjusttinpham@gmail.com</t>
        </is>
      </c>
      <c r="L4" t="inlineStr">
        <is>
          <t>Table Tennis</t>
        </is>
      </c>
      <c r="M4" t="inlineStr">
        <is>
          <t>Men</t>
        </is>
      </c>
      <c r="N4" t="inlineStr">
        <is>
          <t>Doubles</t>
        </is>
      </c>
      <c r="O4" t="inlineStr"/>
      <c r="P4" t="inlineStr">
        <is>
          <t>Phillip Tran</t>
        </is>
      </c>
    </row>
    <row r="5">
      <c r="A5" t="inlineStr">
        <is>
          <t>GAC</t>
        </is>
      </c>
      <c r="B5" t="inlineStr">
        <is>
          <t>3610918</t>
        </is>
      </c>
      <c r="C5" t="inlineStr">
        <is>
          <t>108</t>
        </is>
      </c>
      <c r="D5" t="inlineStr">
        <is>
          <t>pending</t>
        </is>
      </c>
      <c r="E5" t="b">
        <v>1</v>
      </c>
      <c r="F5">
        <f>IMAGE("https://chmeetings.blob.core.windows.net/846969/attachments/EGfLYzrf4UuvbrSrl3fCuQ/a15519c8-561a-4090-ae77-e8e26bc544a0.jpg")</f>
        <v/>
      </c>
      <c r="G5" t="inlineStr">
        <is>
          <t>Pham Justtin</t>
        </is>
      </c>
      <c r="H5" t="inlineStr">
        <is>
          <t>Male</t>
        </is>
      </c>
      <c r="I5" t="n">
        <v>15</v>
      </c>
      <c r="J5" t="inlineStr">
        <is>
          <t>(925) 406-9096</t>
        </is>
      </c>
      <c r="K5" t="inlineStr">
        <is>
          <t>justjusttinpham@gmail.com</t>
        </is>
      </c>
      <c r="L5" t="inlineStr">
        <is>
          <t>Table Tennis</t>
        </is>
      </c>
      <c r="M5" t="inlineStr">
        <is>
          <t>Men</t>
        </is>
      </c>
      <c r="N5" t="inlineStr">
        <is>
          <t>Singles</t>
        </is>
      </c>
      <c r="O5" t="inlineStr"/>
      <c r="P5" t="inlineStr"/>
    </row>
    <row r="6">
      <c r="A6" t="inlineStr">
        <is>
          <t>GAC</t>
        </is>
      </c>
      <c r="B6" t="inlineStr">
        <is>
          <t>3618804</t>
        </is>
      </c>
      <c r="C6" t="inlineStr">
        <is>
          <t>111</t>
        </is>
      </c>
      <c r="D6" t="inlineStr">
        <is>
          <t>pending</t>
        </is>
      </c>
      <c r="E6" t="b">
        <v>1</v>
      </c>
      <c r="F6">
        <f>IMAGE("https://chmeetings.blob.core.windows.net/846969/attachments/fa57rd7DEUi3wuhMi4fndw/4e49d748-6cc9-4bf5-a217-81f093199461.jpg")</f>
        <v/>
      </c>
      <c r="G6" t="inlineStr">
        <is>
          <t>Tran Phillip</t>
        </is>
      </c>
      <c r="H6" t="inlineStr">
        <is>
          <t>Male</t>
        </is>
      </c>
      <c r="I6" t="n">
        <v>15</v>
      </c>
      <c r="J6" t="inlineStr">
        <is>
          <t>(408) 616-9839</t>
        </is>
      </c>
      <c r="K6" t="inlineStr">
        <is>
          <t>phillipissupercool538@gmail.com</t>
        </is>
      </c>
      <c r="L6" t="inlineStr">
        <is>
          <t>Table Tennis</t>
        </is>
      </c>
      <c r="M6" t="inlineStr">
        <is>
          <t>Men</t>
        </is>
      </c>
      <c r="N6" t="inlineStr">
        <is>
          <t>Doubles</t>
        </is>
      </c>
      <c r="O6" t="inlineStr"/>
      <c r="P6" t="inlineStr">
        <is>
          <t>Justtin Pham</t>
        </is>
      </c>
    </row>
    <row r="7">
      <c r="A7" t="inlineStr">
        <is>
          <t>GAC</t>
        </is>
      </c>
      <c r="B7" t="inlineStr">
        <is>
          <t>3618804</t>
        </is>
      </c>
      <c r="C7" t="inlineStr">
        <is>
          <t>111</t>
        </is>
      </c>
      <c r="D7" t="inlineStr">
        <is>
          <t>pending</t>
        </is>
      </c>
      <c r="E7" t="b">
        <v>1</v>
      </c>
      <c r="F7">
        <f>IMAGE("https://chmeetings.blob.core.windows.net/846969/attachments/fa57rd7DEUi3wuhMi4fndw/4e49d748-6cc9-4bf5-a217-81f093199461.jpg")</f>
        <v/>
      </c>
      <c r="G7" t="inlineStr">
        <is>
          <t>Tran Phillip</t>
        </is>
      </c>
      <c r="H7" t="inlineStr">
        <is>
          <t>Male</t>
        </is>
      </c>
      <c r="I7" t="n">
        <v>15</v>
      </c>
      <c r="J7" t="inlineStr">
        <is>
          <t>(408) 616-9839</t>
        </is>
      </c>
      <c r="K7" t="inlineStr">
        <is>
          <t>phillipissupercool538@gmail.com</t>
        </is>
      </c>
      <c r="L7" t="inlineStr">
        <is>
          <t>Table Tennis</t>
        </is>
      </c>
      <c r="M7" t="inlineStr">
        <is>
          <t>Men</t>
        </is>
      </c>
      <c r="N7" t="inlineStr">
        <is>
          <t>Singles</t>
        </is>
      </c>
      <c r="O7" t="inlineStr"/>
      <c r="P7" t="inlineStr"/>
    </row>
    <row r="8">
      <c r="A8" t="inlineStr">
        <is>
          <t>GAC</t>
        </is>
      </c>
      <c r="B8" t="inlineStr">
        <is>
          <t>3610919</t>
        </is>
      </c>
      <c r="C8" t="inlineStr">
        <is>
          <t>60</t>
        </is>
      </c>
      <c r="D8" t="inlineStr">
        <is>
          <t>pending</t>
        </is>
      </c>
      <c r="E8" t="b">
        <v>1</v>
      </c>
      <c r="F8">
        <f>IMAGE("https://chmeetings.blob.core.windows.net/846969/attachments/5eKHOYUtGk6OW2Yv9KYF7Q/38b6a312-42c2-45d1-bf6e-ff86f4ceeca3.jpg")</f>
        <v/>
      </c>
      <c r="G8" t="inlineStr">
        <is>
          <t>Vo Noah</t>
        </is>
      </c>
      <c r="H8" t="inlineStr">
        <is>
          <t>Male</t>
        </is>
      </c>
      <c r="I8" t="n">
        <v>16</v>
      </c>
      <c r="J8" t="inlineStr">
        <is>
          <t>(510) 605-8983</t>
        </is>
      </c>
      <c r="K8" t="inlineStr">
        <is>
          <t>noahhappysmiles@gmail.com</t>
        </is>
      </c>
      <c r="L8" t="inlineStr">
        <is>
          <t>Table Tennis</t>
        </is>
      </c>
      <c r="M8" t="inlineStr">
        <is>
          <t>Men</t>
        </is>
      </c>
      <c r="N8" t="inlineStr">
        <is>
          <t>Doubles</t>
        </is>
      </c>
      <c r="O8" t="inlineStr"/>
      <c r="P8" t="inlineStr">
        <is>
          <t>Josh Deng</t>
        </is>
      </c>
    </row>
  </sheetData>
  <autoFilter ref="A1:P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" customWidth="1" min="7" max="7"/>
    <col width="4" customWidth="1" min="8" max="8"/>
    <col width="9" customWidth="1" min="9" max="9"/>
    <col width="9" customWidth="1" min="10" max="10"/>
    <col width="13" customWidth="1" min="11" max="11"/>
    <col width="10" customWidth="1" min="12" max="12"/>
    <col width="8" customWidth="1" min="13" max="13"/>
    <col width="5.5" customWidth="1" min="14" max="14"/>
    <col width="7" customWidth="1" min="15" max="15"/>
    <col width="6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4363702</t>
        </is>
      </c>
      <c r="C2" t="inlineStr">
        <is>
          <t>114</t>
        </is>
      </c>
      <c r="D2" t="inlineStr">
        <is>
          <t>validated</t>
        </is>
      </c>
      <c r="E2" t="b">
        <v>1</v>
      </c>
      <c r="F2">
        <f>IMAGE("https://chmeetings.blob.core.windows.net/846969/attachments/ROHoX9AhkqcJQzXnKNrQ/9b3a9902-9865-411f-8560-68da85fa6eaf.jpg")</f>
        <v/>
      </c>
      <c r="G2" t="inlineStr">
        <is>
          <t>Tran Timothy</t>
        </is>
      </c>
      <c r="H2" t="inlineStr">
        <is>
          <t>Male</t>
        </is>
      </c>
      <c r="I2" t="n">
        <v>56</v>
      </c>
      <c r="J2" t="inlineStr">
        <is>
          <t>(408) 568-7264</t>
        </is>
      </c>
      <c r="K2" t="inlineStr">
        <is>
          <t>timltran2003@yahoo.com</t>
        </is>
      </c>
      <c r="L2" t="inlineStr">
        <is>
          <t>Table Tennis 35+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Dung Pham</t>
        </is>
      </c>
    </row>
  </sheetData>
  <autoFilter ref="A1:P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" customWidth="1" min="7" max="7"/>
    <col width="4" customWidth="1" min="8" max="8"/>
    <col width="9" customWidth="1" min="9" max="9"/>
    <col width="9" customWidth="1" min="10" max="10"/>
    <col width="17.5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4361952</t>
        </is>
      </c>
      <c r="C2" t="inlineStr">
        <is>
          <t>57</t>
        </is>
      </c>
      <c r="D2" t="inlineStr">
        <is>
          <t>pending</t>
        </is>
      </c>
      <c r="E2" t="b">
        <v>1</v>
      </c>
      <c r="F2">
        <f>IMAGE("https://chmeetings.blob.core.windows.net/846969/attachments/Hjxi9RYULUCBzV5lFGI92Q/b0ae99dc-29e8-4902-8dad-c2ffe54bf1b2.jpg")</f>
        <v/>
      </c>
      <c r="G2" t="inlineStr">
        <is>
          <t>Cisneros Michael</t>
        </is>
      </c>
      <c r="H2" t="inlineStr">
        <is>
          <t>Male</t>
        </is>
      </c>
      <c r="I2" t="n">
        <v>16</v>
      </c>
      <c r="J2" t="inlineStr">
        <is>
          <t>(925) 826-9988</t>
        </is>
      </c>
      <c r="K2" t="inlineStr">
        <is>
          <t>michael.cisneros03@icloud.com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3636819</t>
        </is>
      </c>
      <c r="C3" t="inlineStr">
        <is>
          <t>53</t>
        </is>
      </c>
      <c r="D3" t="inlineStr">
        <is>
          <t>validated</t>
        </is>
      </c>
      <c r="E3" t="b">
        <v>1</v>
      </c>
      <c r="F3">
        <f>IMAGE("https://chmeetings.blob.core.windows.net/846969/attachments/2EMW7UJtRk6APQ4qdfqDcA/cae1b6ba-c323-4927-8239-f131801812c4.jpg")</f>
        <v/>
      </c>
      <c r="G3" t="inlineStr">
        <is>
          <t>OConnor Jeremy</t>
        </is>
      </c>
      <c r="H3" t="inlineStr">
        <is>
          <t>Male</t>
        </is>
      </c>
      <c r="I3" t="n">
        <v>28</v>
      </c>
      <c r="J3" t="inlineStr">
        <is>
          <t>(408) 728-2130</t>
        </is>
      </c>
      <c r="K3" t="inlineStr">
        <is>
          <t>jeremyoc241@gmail.com</t>
        </is>
      </c>
      <c r="L3" t="inlineStr">
        <is>
          <t>Track &amp; Field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4363701</t>
        </is>
      </c>
      <c r="C4" t="inlineStr">
        <is>
          <t>105</t>
        </is>
      </c>
      <c r="D4" t="inlineStr">
        <is>
          <t>pending</t>
        </is>
      </c>
      <c r="E4" t="b">
        <v>1</v>
      </c>
      <c r="F4">
        <f>IMAGE("https://chmeetings.blob.core.windows.net/846969/attachments/PE42ANWDEO4itEGSLic9A/c8d67430-bdd3-47dd-a724-f577a5d5e3e7.jpg")</f>
        <v/>
      </c>
      <c r="G4" t="inlineStr">
        <is>
          <t>Tran Caitlin</t>
        </is>
      </c>
      <c r="H4" t="inlineStr">
        <is>
          <t>Female</t>
        </is>
      </c>
      <c r="I4" t="n">
        <v>13</v>
      </c>
      <c r="J4" t="inlineStr">
        <is>
          <t>(408) 568-7264</t>
        </is>
      </c>
      <c r="K4" t="inlineStr">
        <is>
          <t>timltran2003@yahoo.com</t>
        </is>
      </c>
      <c r="L4" t="inlineStr">
        <is>
          <t>Track &amp; Field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3618804</t>
        </is>
      </c>
      <c r="C5" t="inlineStr">
        <is>
          <t>111</t>
        </is>
      </c>
      <c r="D5" t="inlineStr">
        <is>
          <t>pending</t>
        </is>
      </c>
      <c r="E5" t="b">
        <v>1</v>
      </c>
      <c r="F5">
        <f>IMAGE("https://chmeetings.blob.core.windows.net/846969/attachments/fa57rd7DEUi3wuhMi4fndw/4e49d748-6cc9-4bf5-a217-81f093199461.jpg")</f>
        <v/>
      </c>
      <c r="G5" t="inlineStr">
        <is>
          <t>Tran Phillip</t>
        </is>
      </c>
      <c r="H5" t="inlineStr">
        <is>
          <t>Male</t>
        </is>
      </c>
      <c r="I5" t="n">
        <v>15</v>
      </c>
      <c r="J5" t="inlineStr">
        <is>
          <t>(408) 616-9839</t>
        </is>
      </c>
      <c r="K5" t="inlineStr">
        <is>
          <t>phillipissupercool538@gmail.com</t>
        </is>
      </c>
      <c r="L5" t="inlineStr">
        <is>
          <t>Track &amp; Field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</sheetData>
  <autoFilter ref="A1:P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3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3618803</t>
        </is>
      </c>
      <c r="C2" t="inlineStr">
        <is>
          <t>47</t>
        </is>
      </c>
      <c r="D2" t="inlineStr">
        <is>
          <t>validated</t>
        </is>
      </c>
      <c r="E2" t="b">
        <v>1</v>
      </c>
      <c r="F2">
        <f>IMAGE("https://chmeetings.blob.core.windows.net/846969/attachments/8RaR3P2EW0W4gXH4RYhbTA/5ceea1d8-d408-4951-80f1-990d0318e7f1.jpg")</f>
        <v/>
      </c>
      <c r="G2" t="inlineStr">
        <is>
          <t>Chau Brendan</t>
        </is>
      </c>
      <c r="H2" t="inlineStr">
        <is>
          <t>Male</t>
        </is>
      </c>
      <c r="I2" t="n">
        <v>28</v>
      </c>
      <c r="J2" t="inlineStr">
        <is>
          <t>(408) 781-6867</t>
        </is>
      </c>
      <c r="K2" t="inlineStr">
        <is>
          <t>bvanchau35@gmail.com</t>
        </is>
      </c>
      <c r="L2" t="inlineStr">
        <is>
          <t>Tug-of-war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4361952</t>
        </is>
      </c>
      <c r="C3" t="inlineStr">
        <is>
          <t>57</t>
        </is>
      </c>
      <c r="D3" t="inlineStr">
        <is>
          <t>pending</t>
        </is>
      </c>
      <c r="E3" t="b">
        <v>1</v>
      </c>
      <c r="F3">
        <f>IMAGE("https://chmeetings.blob.core.windows.net/846969/attachments/Hjxi9RYULUCBzV5lFGI92Q/b0ae99dc-29e8-4902-8dad-c2ffe54bf1b2.jpg")</f>
        <v/>
      </c>
      <c r="G3" t="inlineStr">
        <is>
          <t>Cisneros Michael</t>
        </is>
      </c>
      <c r="H3" t="inlineStr">
        <is>
          <t>Male</t>
        </is>
      </c>
      <c r="I3" t="n">
        <v>16</v>
      </c>
      <c r="J3" t="inlineStr">
        <is>
          <t>(925) 826-9988</t>
        </is>
      </c>
      <c r="K3" t="inlineStr">
        <is>
          <t>michael.cisneros03@icloud.com</t>
        </is>
      </c>
      <c r="L3" t="inlineStr">
        <is>
          <t>Tug-of-war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3636819</t>
        </is>
      </c>
      <c r="C4" t="inlineStr">
        <is>
          <t>53</t>
        </is>
      </c>
      <c r="D4" t="inlineStr">
        <is>
          <t>validated</t>
        </is>
      </c>
      <c r="E4" t="b">
        <v>1</v>
      </c>
      <c r="F4">
        <f>IMAGE("https://chmeetings.blob.core.windows.net/846969/attachments/2EMW7UJtRk6APQ4qdfqDcA/cae1b6ba-c323-4927-8239-f131801812c4.jpg")</f>
        <v/>
      </c>
      <c r="G4" t="inlineStr">
        <is>
          <t>OConnor Jeremy</t>
        </is>
      </c>
      <c r="H4" t="inlineStr">
        <is>
          <t>Male</t>
        </is>
      </c>
      <c r="I4" t="n">
        <v>28</v>
      </c>
      <c r="J4" t="inlineStr">
        <is>
          <t>(408) 728-2130</t>
        </is>
      </c>
      <c r="K4" t="inlineStr">
        <is>
          <t>jeremyoc241@gmail.com</t>
        </is>
      </c>
      <c r="L4" t="inlineStr">
        <is>
          <t>Tug-of-war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3615948</t>
        </is>
      </c>
      <c r="C5" t="inlineStr">
        <is>
          <t>46</t>
        </is>
      </c>
      <c r="D5" t="inlineStr">
        <is>
          <t>validated</t>
        </is>
      </c>
      <c r="E5" t="b">
        <v>1</v>
      </c>
      <c r="F5">
        <f>IMAGE("https://chmeetings.blob.core.windows.net/846969/attachments/jl2i4eVeYECLBJcTyk7tA/55b9f204-7df3-4ccf-ba35-08d5400d946c.jpg")</f>
        <v/>
      </c>
      <c r="G5" t="inlineStr">
        <is>
          <t>Ta Anthony</t>
        </is>
      </c>
      <c r="H5" t="inlineStr">
        <is>
          <t>Male</t>
        </is>
      </c>
      <c r="I5" t="n">
        <v>25</v>
      </c>
      <c r="J5" t="inlineStr">
        <is>
          <t>(408) 551-8190</t>
        </is>
      </c>
      <c r="K5" t="inlineStr">
        <is>
          <t>anthonyta502@gmail.com</t>
        </is>
      </c>
      <c r="L5" t="inlineStr">
        <is>
          <t>Tug-of-war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</sheetData>
  <autoFilter ref="A1:P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9" customWidth="1" min="7" max="7"/>
    <col width="4" customWidth="1" min="8" max="8"/>
    <col width="9" customWidth="1" min="9" max="9"/>
    <col width="9" customWidth="1" min="10" max="10"/>
    <col width="14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3618803</t>
        </is>
      </c>
      <c r="C2" t="inlineStr">
        <is>
          <t>47</t>
        </is>
      </c>
      <c r="D2" t="inlineStr">
        <is>
          <t>validated</t>
        </is>
      </c>
      <c r="E2" t="b">
        <v>1</v>
      </c>
      <c r="F2">
        <f>IMAGE("https://chmeetings.blob.core.windows.net/846969/attachments/8RaR3P2EW0W4gXH4RYhbTA/5ceea1d8-d408-4951-80f1-990d0318e7f1.jpg")</f>
        <v/>
      </c>
      <c r="G2" t="inlineStr">
        <is>
          <t>Chau Brendan</t>
        </is>
      </c>
      <c r="H2" t="inlineStr">
        <is>
          <t>Male</t>
        </is>
      </c>
      <c r="I2" t="n">
        <v>28</v>
      </c>
      <c r="J2" t="inlineStr">
        <is>
          <t>(408) 781-6867</t>
        </is>
      </c>
      <c r="K2" t="inlineStr">
        <is>
          <t>bvanchau35@gmail.com</t>
        </is>
      </c>
      <c r="L2" t="inlineStr">
        <is>
          <t>Volleyball</t>
        </is>
      </c>
      <c r="M2" t="inlineStr">
        <is>
          <t>Men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3610923</t>
        </is>
      </c>
      <c r="C3" t="inlineStr">
        <is>
          <t>44</t>
        </is>
      </c>
      <c r="D3" t="inlineStr">
        <is>
          <t>validated</t>
        </is>
      </c>
      <c r="E3" t="b">
        <v>1</v>
      </c>
      <c r="F3">
        <f>IMAGE("https://chmeetings.blob.core.windows.net/846969/attachments/AJjEeJ7FkyqVeAXFVXrlg/66768031-3472-431a-97e3-c4999286e61d.jpg")</f>
        <v/>
      </c>
      <c r="G3" t="inlineStr">
        <is>
          <t>Huynh Alexander</t>
        </is>
      </c>
      <c r="H3" t="inlineStr">
        <is>
          <t>Male</t>
        </is>
      </c>
      <c r="I3" t="n">
        <v>18</v>
      </c>
      <c r="J3" t="inlineStr">
        <is>
          <t>(510) 316-6941</t>
        </is>
      </c>
      <c r="K3" t="inlineStr">
        <is>
          <t>Evanassist@gmail.com</t>
        </is>
      </c>
      <c r="L3" t="inlineStr">
        <is>
          <t>Volleyball</t>
        </is>
      </c>
      <c r="M3" t="inlineStr">
        <is>
          <t>Men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3623145</t>
        </is>
      </c>
      <c r="C4" t="inlineStr">
        <is>
          <t>49</t>
        </is>
      </c>
      <c r="D4" t="inlineStr">
        <is>
          <t>pending</t>
        </is>
      </c>
      <c r="E4" t="b">
        <v>1</v>
      </c>
      <c r="F4">
        <f>IMAGE("https://chmeetings.blob.core.windows.net/846969/attachments/0thvFv8nzUSwHPFCj8rLmw/70d3cc8f-121f-41dd-afb3-47222f355027.jpg")</f>
        <v/>
      </c>
      <c r="G4" t="inlineStr">
        <is>
          <t>Nguyen Elijah</t>
        </is>
      </c>
      <c r="H4" t="inlineStr">
        <is>
          <t>Male</t>
        </is>
      </c>
      <c r="I4" t="n">
        <v>14</v>
      </c>
      <c r="J4" t="inlineStr">
        <is>
          <t>(408) 772-9825</t>
        </is>
      </c>
      <c r="K4" t="inlineStr">
        <is>
          <t>write2phuong2020@gmail.com</t>
        </is>
      </c>
      <c r="L4" t="inlineStr">
        <is>
          <t>Volleyball</t>
        </is>
      </c>
      <c r="M4" t="inlineStr">
        <is>
          <t>Men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4361937</t>
        </is>
      </c>
      <c r="C5" t="inlineStr">
        <is>
          <t>52</t>
        </is>
      </c>
      <c r="D5" t="inlineStr">
        <is>
          <t>pending</t>
        </is>
      </c>
      <c r="E5" t="b">
        <v>1</v>
      </c>
      <c r="F5">
        <f>IMAGE("https://chmeetings.blob.core.windows.net/846969/attachments/5Nf9EulpAEWOHqW7O8qfHw/1fee0c8c-28e9-4436-82ae-c417b47471af.jpg")</f>
        <v/>
      </c>
      <c r="G5" t="inlineStr">
        <is>
          <t>Nguyen Isaiah</t>
        </is>
      </c>
      <c r="H5" t="inlineStr">
        <is>
          <t>Male</t>
        </is>
      </c>
      <c r="I5" t="n">
        <v>12</v>
      </c>
      <c r="J5" t="inlineStr">
        <is>
          <t>(408) 772-9825</t>
        </is>
      </c>
      <c r="K5" t="inlineStr">
        <is>
          <t>Phuongluu22@yahoo.com</t>
        </is>
      </c>
      <c r="L5" t="inlineStr">
        <is>
          <t>Volleyball</t>
        </is>
      </c>
      <c r="M5" t="inlineStr">
        <is>
          <t>Men</t>
        </is>
      </c>
      <c r="N5" t="inlineStr">
        <is>
          <t>Team</t>
        </is>
      </c>
      <c r="O5" t="inlineStr"/>
      <c r="P5" t="inlineStr"/>
    </row>
    <row r="6">
      <c r="A6" t="inlineStr">
        <is>
          <t>GAC</t>
        </is>
      </c>
      <c r="B6" t="inlineStr">
        <is>
          <t>3636819</t>
        </is>
      </c>
      <c r="C6" t="inlineStr">
        <is>
          <t>53</t>
        </is>
      </c>
      <c r="D6" t="inlineStr">
        <is>
          <t>validated</t>
        </is>
      </c>
      <c r="E6" t="b">
        <v>1</v>
      </c>
      <c r="F6">
        <f>IMAGE("https://chmeetings.blob.core.windows.net/846969/attachments/2EMW7UJtRk6APQ4qdfqDcA/cae1b6ba-c323-4927-8239-f131801812c4.jpg")</f>
        <v/>
      </c>
      <c r="G6" t="inlineStr">
        <is>
          <t>OConnor Jeremy</t>
        </is>
      </c>
      <c r="H6" t="inlineStr">
        <is>
          <t>Male</t>
        </is>
      </c>
      <c r="I6" t="n">
        <v>28</v>
      </c>
      <c r="J6" t="inlineStr">
        <is>
          <t>(408) 728-2130</t>
        </is>
      </c>
      <c r="K6" t="inlineStr">
        <is>
          <t>jeremyoc241@gmail.com</t>
        </is>
      </c>
      <c r="L6" t="inlineStr">
        <is>
          <t>Volleyball</t>
        </is>
      </c>
      <c r="M6" t="inlineStr">
        <is>
          <t>Men</t>
        </is>
      </c>
      <c r="N6" t="inlineStr">
        <is>
          <t>Team</t>
        </is>
      </c>
      <c r="O6" t="inlineStr"/>
      <c r="P6" t="inlineStr"/>
    </row>
    <row r="7">
      <c r="A7" t="inlineStr">
        <is>
          <t>GAC</t>
        </is>
      </c>
      <c r="B7" t="inlineStr">
        <is>
          <t>3610919</t>
        </is>
      </c>
      <c r="C7" t="inlineStr">
        <is>
          <t>60</t>
        </is>
      </c>
      <c r="D7" t="inlineStr">
        <is>
          <t>pending</t>
        </is>
      </c>
      <c r="E7" t="b">
        <v>1</v>
      </c>
      <c r="F7">
        <f>IMAGE("https://chmeetings.blob.core.windows.net/846969/attachments/5eKHOYUtGk6OW2Yv9KYF7Q/38b6a312-42c2-45d1-bf6e-ff86f4ceeca3.jpg")</f>
        <v/>
      </c>
      <c r="G7" t="inlineStr">
        <is>
          <t>Vo Noah</t>
        </is>
      </c>
      <c r="H7" t="inlineStr">
        <is>
          <t>Male</t>
        </is>
      </c>
      <c r="I7" t="n">
        <v>16</v>
      </c>
      <c r="J7" t="inlineStr">
        <is>
          <t>(510) 605-8983</t>
        </is>
      </c>
      <c r="K7" t="inlineStr">
        <is>
          <t>noahhappysmiles@gmail.com</t>
        </is>
      </c>
      <c r="L7" t="inlineStr">
        <is>
          <t>Volleyball</t>
        </is>
      </c>
      <c r="M7" t="inlineStr">
        <is>
          <t>Men</t>
        </is>
      </c>
      <c r="N7" t="inlineStr">
        <is>
          <t>Team</t>
        </is>
      </c>
      <c r="O7" t="inlineStr"/>
      <c r="P7" t="inlineStr"/>
    </row>
  </sheetData>
  <autoFilter ref="A1:P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5" customWidth="1" min="8" max="8"/>
    <col width="9" customWidth="1" min="9" max="9"/>
    <col width="9" customWidth="1" min="10" max="10"/>
    <col width="10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4363700</t>
        </is>
      </c>
      <c r="C2" t="inlineStr">
        <is>
          <t>109</t>
        </is>
      </c>
      <c r="D2" t="inlineStr">
        <is>
          <t>validated</t>
        </is>
      </c>
      <c r="E2" t="b">
        <v>0</v>
      </c>
      <c r="F2">
        <f>IMAGE("https://chmeetings.blob.core.windows.net/846969/attachments/qTC9Uat4MUaxatcLkF0ToA/508040b5-57e0-45eb-af89-0ef09a49a069.jpg")</f>
        <v/>
      </c>
      <c r="G2" t="inlineStr">
        <is>
          <t>Ahmed Marisa</t>
        </is>
      </c>
      <c r="H2" t="inlineStr">
        <is>
          <t>Female</t>
        </is>
      </c>
      <c r="I2" t="n">
        <v>30</v>
      </c>
      <c r="J2" t="inlineStr">
        <is>
          <t>(408) 209-1904</t>
        </is>
      </c>
      <c r="K2" t="inlineStr">
        <is>
          <t>mmllahmed@gmail.com</t>
        </is>
      </c>
      <c r="L2" t="inlineStr">
        <is>
          <t>Volleyball</t>
        </is>
      </c>
      <c r="M2" t="inlineStr">
        <is>
          <t>Women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3639279</t>
        </is>
      </c>
      <c r="C3" t="inlineStr">
        <is>
          <t>51</t>
        </is>
      </c>
      <c r="D3" t="inlineStr">
        <is>
          <t>pending</t>
        </is>
      </c>
      <c r="E3" t="b">
        <v>1</v>
      </c>
      <c r="F3">
        <f>IMAGE("https://chmeetings.blob.core.windows.net/846969/attachments/B9YkQiCMUuEl7fhMqM94w/b0f466ec-8acd-4c6f-adef-e6a3339767c4.jpg")</f>
        <v/>
      </c>
      <c r="G3" t="inlineStr">
        <is>
          <t>Ha Gavrielle</t>
        </is>
      </c>
      <c r="H3" t="inlineStr">
        <is>
          <t>Female</t>
        </is>
      </c>
      <c r="I3" t="n">
        <v>13</v>
      </c>
      <c r="J3" t="inlineStr">
        <is>
          <t>(408) 332-1859</t>
        </is>
      </c>
      <c r="K3" t="inlineStr">
        <is>
          <t>Lovekountry2@gmail.com</t>
        </is>
      </c>
      <c r="L3" t="inlineStr">
        <is>
          <t>Volleyball</t>
        </is>
      </c>
      <c r="M3" t="inlineStr">
        <is>
          <t>Women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3610922</t>
        </is>
      </c>
      <c r="C4" t="inlineStr">
        <is>
          <t>59</t>
        </is>
      </c>
      <c r="D4" t="inlineStr">
        <is>
          <t>pending</t>
        </is>
      </c>
      <c r="E4" t="b">
        <v>1</v>
      </c>
      <c r="F4">
        <f>IMAGE("https://chmeetings.blob.core.windows.net/846969/attachments/vznt2lixkKeNUrklylAOQ/9b94be0d-392e-4d1e-99d0-3439fb73bcd7.jpg")</f>
        <v/>
      </c>
      <c r="G4" t="inlineStr">
        <is>
          <t>Huynh Natalie</t>
        </is>
      </c>
      <c r="H4" t="inlineStr">
        <is>
          <t>Female</t>
        </is>
      </c>
      <c r="I4" t="n">
        <v>17</v>
      </c>
      <c r="J4" t="inlineStr">
        <is>
          <t>(510) 316-6941</t>
        </is>
      </c>
      <c r="K4" t="inlineStr">
        <is>
          <t>Evanassist@gmail.com</t>
        </is>
      </c>
      <c r="L4" t="inlineStr">
        <is>
          <t>Volleyball</t>
        </is>
      </c>
      <c r="M4" t="inlineStr">
        <is>
          <t>Women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4361940</t>
        </is>
      </c>
      <c r="C5" t="inlineStr">
        <is>
          <t>54</t>
        </is>
      </c>
      <c r="D5" t="inlineStr">
        <is>
          <t>validated</t>
        </is>
      </c>
      <c r="E5" t="b">
        <v>0</v>
      </c>
      <c r="F5">
        <f>IMAGE("https://chmeetings.blob.core.windows.net/846969/attachments/O0vulBN2fEWjf0Xb50kUBg/56df1b2d-2da3-4c47-b78a-9a3753b58c1f.jpg")</f>
        <v/>
      </c>
      <c r="G5" t="inlineStr">
        <is>
          <t>Mangawang Jill</t>
        </is>
      </c>
      <c r="H5" t="inlineStr">
        <is>
          <t>Female</t>
        </is>
      </c>
      <c r="I5" t="n">
        <v>26</v>
      </c>
      <c r="J5" t="inlineStr">
        <is>
          <t>(650) 773-4162</t>
        </is>
      </c>
      <c r="K5" t="inlineStr">
        <is>
          <t>Jill.marjorie@yahoo.com</t>
        </is>
      </c>
      <c r="L5" t="inlineStr">
        <is>
          <t>Volleyball</t>
        </is>
      </c>
      <c r="M5" t="inlineStr">
        <is>
          <t>Women</t>
        </is>
      </c>
      <c r="N5" t="inlineStr">
        <is>
          <t>Team</t>
        </is>
      </c>
      <c r="O5" t="inlineStr"/>
      <c r="P5" t="inlineStr"/>
    </row>
    <row r="6">
      <c r="A6" t="inlineStr">
        <is>
          <t>GAC</t>
        </is>
      </c>
      <c r="B6" t="inlineStr">
        <is>
          <t>3623148</t>
        </is>
      </c>
      <c r="C6" t="inlineStr">
        <is>
          <t>43</t>
        </is>
      </c>
      <c r="D6" t="inlineStr">
        <is>
          <t>pending</t>
        </is>
      </c>
      <c r="E6" t="b">
        <v>1</v>
      </c>
      <c r="F6">
        <f>IMAGE("https://chmeetings.blob.core.windows.net/846969/attachments/4mCxNo0K6gT61d20NBA/fcae834f-995c-404b-ac0d-725ca2e16255.jpg")</f>
        <v/>
      </c>
      <c r="G6" t="inlineStr">
        <is>
          <t>Ngo Abigail</t>
        </is>
      </c>
      <c r="H6" t="inlineStr">
        <is>
          <t>Female</t>
        </is>
      </c>
      <c r="I6" t="n">
        <v>17</v>
      </c>
      <c r="J6" t="inlineStr">
        <is>
          <t>(408) 394-9972</t>
        </is>
      </c>
      <c r="K6" t="inlineStr">
        <is>
          <t>abigailpearln@gmail.com</t>
        </is>
      </c>
      <c r="L6" t="inlineStr">
        <is>
          <t>Volleyball</t>
        </is>
      </c>
      <c r="M6" t="inlineStr">
        <is>
          <t>Women</t>
        </is>
      </c>
      <c r="N6" t="inlineStr">
        <is>
          <t>Team</t>
        </is>
      </c>
      <c r="O6" t="inlineStr"/>
      <c r="P6" t="inlineStr"/>
    </row>
    <row r="7">
      <c r="A7" t="inlineStr">
        <is>
          <t>GAC</t>
        </is>
      </c>
      <c r="B7" t="inlineStr">
        <is>
          <t>4363701</t>
        </is>
      </c>
      <c r="C7" t="inlineStr">
        <is>
          <t>105</t>
        </is>
      </c>
      <c r="D7" t="inlineStr">
        <is>
          <t>pending</t>
        </is>
      </c>
      <c r="E7" t="b">
        <v>1</v>
      </c>
      <c r="F7">
        <f>IMAGE("https://chmeetings.blob.core.windows.net/846969/attachments/PE42ANWDEO4itEGSLic9A/c8d67430-bdd3-47dd-a724-f577a5d5e3e7.jpg")</f>
        <v/>
      </c>
      <c r="G7" t="inlineStr">
        <is>
          <t>Tran Caitlin</t>
        </is>
      </c>
      <c r="H7" t="inlineStr">
        <is>
          <t>Female</t>
        </is>
      </c>
      <c r="I7" t="n">
        <v>13</v>
      </c>
      <c r="J7" t="inlineStr">
        <is>
          <t>(408) 568-7264</t>
        </is>
      </c>
      <c r="K7" t="inlineStr">
        <is>
          <t>timltran2003@yahoo.com</t>
        </is>
      </c>
      <c r="L7" t="inlineStr">
        <is>
          <t>Volleyball</t>
        </is>
      </c>
      <c r="M7" t="inlineStr">
        <is>
          <t>Women</t>
        </is>
      </c>
      <c r="N7" t="inlineStr">
        <is>
          <t>Team</t>
        </is>
      </c>
      <c r="O7" t="inlineStr"/>
      <c r="P7" t="inlineStr"/>
    </row>
    <row r="8">
      <c r="A8" t="inlineStr">
        <is>
          <t>GAC</t>
        </is>
      </c>
      <c r="B8" t="inlineStr">
        <is>
          <t>3610920</t>
        </is>
      </c>
      <c r="C8" t="inlineStr">
        <is>
          <t>45</t>
        </is>
      </c>
      <c r="D8" t="inlineStr">
        <is>
          <t>validated</t>
        </is>
      </c>
      <c r="E8" t="b">
        <v>1</v>
      </c>
      <c r="F8">
        <f>IMAGE("https://chmeetings.blob.core.windows.net/846969/attachments/OyWbdJyT5EixPoP3spOyLg/80becd09-3898-4d0b-a5a3-71310f9d20d4.jpg")</f>
        <v/>
      </c>
      <c r="G8" t="inlineStr">
        <is>
          <t>Vo Aly</t>
        </is>
      </c>
      <c r="H8" t="inlineStr">
        <is>
          <t>Female</t>
        </is>
      </c>
      <c r="I8" t="n">
        <v>18</v>
      </c>
      <c r="J8" t="inlineStr">
        <is>
          <t>(341) 227-8343</t>
        </is>
      </c>
      <c r="K8" t="inlineStr">
        <is>
          <t>Aly.vo29@gmail.com</t>
        </is>
      </c>
      <c r="L8" t="inlineStr">
        <is>
          <t>Volleyball</t>
        </is>
      </c>
      <c r="M8" t="inlineStr">
        <is>
          <t>Women</t>
        </is>
      </c>
      <c r="N8" t="inlineStr">
        <is>
          <t>Team</t>
        </is>
      </c>
      <c r="O8" t="inlineStr"/>
      <c r="P8" t="inlineStr"/>
    </row>
    <row r="9">
      <c r="A9" t="inlineStr">
        <is>
          <t>GAC</t>
        </is>
      </c>
      <c r="B9" t="inlineStr">
        <is>
          <t>3610917</t>
        </is>
      </c>
      <c r="C9" t="inlineStr">
        <is>
          <t>56</t>
        </is>
      </c>
      <c r="D9" t="inlineStr">
        <is>
          <t>validated</t>
        </is>
      </c>
      <c r="E9" t="b">
        <v>1</v>
      </c>
      <c r="F9">
        <f>IMAGE("https://chmeetings.blob.core.windows.net/846969/attachments/dbPn6hwRbUmuEMeKWTNWxg/56cb0979-8b71-4c8e-9f5b-db9d018e400f.jpg")</f>
        <v/>
      </c>
      <c r="G9" t="inlineStr">
        <is>
          <t>Vo Kayla</t>
        </is>
      </c>
      <c r="H9" t="inlineStr">
        <is>
          <t>Female</t>
        </is>
      </c>
      <c r="I9" t="n">
        <v>19</v>
      </c>
      <c r="J9" t="inlineStr">
        <is>
          <t>(510) 774-2614</t>
        </is>
      </c>
      <c r="K9" t="inlineStr">
        <is>
          <t>kaimyvo@gmail.com</t>
        </is>
      </c>
      <c r="L9" t="inlineStr">
        <is>
          <t>Volleyball</t>
        </is>
      </c>
      <c r="M9" t="inlineStr">
        <is>
          <t>Women</t>
        </is>
      </c>
      <c r="N9" t="inlineStr">
        <is>
          <t>Team</t>
        </is>
      </c>
      <c r="O9" t="inlineStr"/>
      <c r="P9" t="inlineStr"/>
    </row>
  </sheetData>
  <autoFilter ref="A1: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2026-05-04T14:05:27Z</dcterms:created>
  <dcterms:modified xmlns:dcterms="http://purl.org/dc/terms/" xmlns:xsi="http://www.w3.org/2001/XMLSchema-instance" xsi:type="dcterms:W3CDTF">2026-05-04T14:05:27Z</dcterms:modified>
</cp:coreProperties>
</file>