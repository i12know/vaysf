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-Statu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Badminton" sheetId="4" state="visible" r:id="rId4"/>
    <sheet xmlns:r="http://schemas.openxmlformats.org/officeDocument/2006/relationships" name="Pickleball" sheetId="5" state="visible" r:id="rId5"/>
    <sheet xmlns:r="http://schemas.openxmlformats.org/officeDocument/2006/relationships" name="Table Tennis" sheetId="6" state="visible" r:id="rId6"/>
    <sheet xmlns:r="http://schemas.openxmlformats.org/officeDocument/2006/relationships" name="Tennis" sheetId="7" state="visible" r:id="rId7"/>
    <sheet xmlns:r="http://schemas.openxmlformats.org/officeDocument/2006/relationships" name="Track  Field" sheetId="8" state="visible" r:id="rId8"/>
    <sheet xmlns:r="http://schemas.openxmlformats.org/officeDocument/2006/relationships" name="VB Men" sheetId="9" state="visible" r:id="rId9"/>
    <sheet xmlns:r="http://schemas.openxmlformats.org/officeDocument/2006/relationships" name="VB Women" sheetId="10" state="visible" r:id="rId10"/>
  </sheets>
  <definedNames>
    <definedName name="_xlnm._FilterDatabase" localSheetId="0" hidden="1">'Summary'!$A$1:$H$2</definedName>
    <definedName name="_xlnm._FilterDatabase" localSheetId="1" hidden="1">'Contacts-Status'!$A$1:$W$14</definedName>
    <definedName name="_xlnm._FilterDatabase" localSheetId="2" hidden="1">'Roster'!$A$1:$Q$21</definedName>
    <definedName name="_xlnm._FilterDatabase" localSheetId="3" hidden="1">'Badminton'!$A$1:$P$7</definedName>
    <definedName name="_xlnm._FilterDatabase" localSheetId="4" hidden="1">'Pickleball'!$A$1:$P$3</definedName>
    <definedName name="_xlnm._FilterDatabase" localSheetId="5" hidden="1">'Table Tennis'!$A$1:$P$3</definedName>
    <definedName name="_xlnm._FilterDatabase" localSheetId="6" hidden="1">'Tennis'!$A$1:$P$3</definedName>
    <definedName name="_xlnm._FilterDatabase" localSheetId="7" hidden="1">'Track  Field'!$A$1:$P$2</definedName>
    <definedName name="_xlnm._FilterDatabase" localSheetId="8" hidden="1">'VB Men'!$A$1:$P$6</definedName>
    <definedName name="_xlnm._FilterDatabase" localSheetId="9" hidden="1">'VB Women'!$A$1:$P$3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1.5" customWidth="1" min="8" max="8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Latest ChM Record Update for Team</t>
        </is>
      </c>
    </row>
    <row r="2">
      <c r="A2" t="inlineStr">
        <is>
          <t>SDC</t>
        </is>
      </c>
      <c r="B2" t="n">
        <v>13</v>
      </c>
      <c r="C2" t="n">
        <v>13</v>
      </c>
      <c r="D2" t="n">
        <v>0</v>
      </c>
      <c r="E2" t="n">
        <v>13</v>
      </c>
      <c r="F2" t="n">
        <v>0</v>
      </c>
      <c r="G2" t="n">
        <v>2</v>
      </c>
      <c r="H2" t="inlineStr">
        <is>
          <t>2026-05-03 22:00:01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4.5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9" customWidth="1" min="13" max="13"/>
    <col width="11" customWidth="1" min="14" max="14"/>
    <col width="23.5" customWidth="1" min="15" max="15"/>
    <col width="21" customWidth="1" min="16" max="16"/>
    <col width="22.5" customWidth="1" min="17" max="17"/>
    <col width="4.5" customWidth="1" min="18" max="18"/>
    <col width="21.5" customWidth="1" min="19" max="19"/>
    <col width="4.5" customWidth="1" min="20" max="20"/>
    <col width="4.5" customWidth="1" min="21" max="21"/>
    <col width="50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SDC</t>
        </is>
      </c>
      <c r="B2" t="inlineStr">
        <is>
          <t>4363696</t>
        </is>
      </c>
      <c r="C2" t="inlineStr">
        <is>
          <t>Orion</t>
        </is>
      </c>
      <c r="D2" t="inlineStr">
        <is>
          <t>Le</t>
        </is>
      </c>
      <c r="E2" t="inlineStr">
        <is>
          <t>Yes</t>
        </is>
      </c>
      <c r="F2" t="inlineStr">
        <is>
          <t>No</t>
        </is>
      </c>
      <c r="G2" t="inlineStr">
        <is>
          <t>85</t>
        </is>
      </c>
      <c r="H2" t="inlineStr">
        <is>
          <t>pending</t>
        </is>
      </c>
      <c r="I2" t="n">
        <v>1</v>
      </c>
      <c r="J2" t="inlineStr">
        <is>
          <t>Male</t>
        </is>
      </c>
      <c r="K2" t="inlineStr">
        <is>
          <t>2011-05-24</t>
        </is>
      </c>
      <c r="L2" t="n">
        <v>15</v>
      </c>
      <c r="M2" t="inlineStr">
        <is>
          <t>(619) 636-9029</t>
        </is>
      </c>
      <c r="N2" t="inlineStr">
        <is>
          <t>orionkle@gmail.com</t>
        </is>
      </c>
      <c r="O2" t="inlineStr">
        <is>
          <t>Consent form status unknown or not provided</t>
        </is>
      </c>
      <c r="P2" t="inlineStr"/>
      <c r="Q2" t="inlineStr"/>
      <c r="R2" t="inlineStr"/>
      <c r="S2" t="inlineStr"/>
      <c r="T2" t="inlineStr"/>
      <c r="U2" t="inlineStr"/>
      <c r="V2">
        <f>HYPERLINK("https://chmeetings.blob.core.windows.net/846969/attachments/WkUK8P2AT02DuSP93vzyQ/de3c4b81-ac76-4773-9f41-3dbbfdb4c639.jpg", "https://chmeetings.blob.core.windows.net/846969/attachments/WkUK8P2AT02DuSP93vzyQ/de3c4b81-ac76-4773-9f41-3dbbfdb4c639.jpg")</f>
        <v/>
      </c>
      <c r="W2" t="inlineStr">
        <is>
          <t>2026-05-03 21:59:15</t>
        </is>
      </c>
    </row>
    <row r="3">
      <c r="A3" t="inlineStr">
        <is>
          <t>SDC</t>
        </is>
      </c>
      <c r="B3" t="inlineStr">
        <is>
          <t>3631498</t>
        </is>
      </c>
      <c r="C3" t="inlineStr">
        <is>
          <t>Peter</t>
        </is>
      </c>
      <c r="D3" t="inlineStr">
        <is>
          <t>Tu</t>
        </is>
      </c>
      <c r="E3" t="inlineStr">
        <is>
          <t>Yes</t>
        </is>
      </c>
      <c r="F3" t="inlineStr">
        <is>
          <t>Yes</t>
        </is>
      </c>
      <c r="G3" t="inlineStr">
        <is>
          <t>23</t>
        </is>
      </c>
      <c r="H3" t="inlineStr">
        <is>
          <t>pending</t>
        </is>
      </c>
      <c r="I3" t="n">
        <v>1</v>
      </c>
      <c r="J3" t="inlineStr">
        <is>
          <t>Male</t>
        </is>
      </c>
      <c r="K3" t="inlineStr">
        <is>
          <t>2010-05-27</t>
        </is>
      </c>
      <c r="L3" t="n">
        <v>16</v>
      </c>
      <c r="M3" t="inlineStr">
        <is>
          <t>(619) 850-3146</t>
        </is>
      </c>
      <c r="N3" t="inlineStr">
        <is>
          <t>22petertu@gmail.com</t>
        </is>
      </c>
      <c r="O3" t="inlineStr">
        <is>
          <t>Consent form status unknown or not provided</t>
        </is>
      </c>
      <c r="P3" t="inlineStr"/>
      <c r="Q3" t="inlineStr"/>
      <c r="R3" t="inlineStr"/>
      <c r="S3" t="inlineStr"/>
      <c r="T3" t="inlineStr"/>
      <c r="U3" t="inlineStr"/>
      <c r="V3">
        <f>HYPERLINK("https://chmeetings.blob.core.windows.net/846969/attachments/JaOKRnWgzU2Ets1hKETkyg/1245d6dc-fe84-45e5-a936-90755a825089.jpg", "https://chmeetings.blob.core.windows.net/846969/attachments/JaOKRnWgzU2Ets1hKETkyg/1245d6dc-fe84-45e5-a936-90755a825089.jpg")</f>
        <v/>
      </c>
      <c r="W3" t="inlineStr">
        <is>
          <t>2026-05-02 19:51:07</t>
        </is>
      </c>
    </row>
    <row r="4">
      <c r="A4" t="inlineStr">
        <is>
          <t>SDC</t>
        </is>
      </c>
      <c r="B4" t="inlineStr">
        <is>
          <t>3634404</t>
        </is>
      </c>
      <c r="C4" t="inlineStr">
        <is>
          <t>Kenneth</t>
        </is>
      </c>
      <c r="D4" t="inlineStr">
        <is>
          <t>Cruz Matias</t>
        </is>
      </c>
      <c r="E4" t="inlineStr">
        <is>
          <t>Yes</t>
        </is>
      </c>
      <c r="F4" t="inlineStr">
        <is>
          <t>Yes</t>
        </is>
      </c>
      <c r="G4" t="inlineStr">
        <is>
          <t>21</t>
        </is>
      </c>
      <c r="H4" t="inlineStr">
        <is>
          <t>validated</t>
        </is>
      </c>
      <c r="I4" t="n">
        <v>0</v>
      </c>
      <c r="J4" t="inlineStr">
        <is>
          <t>Male</t>
        </is>
      </c>
      <c r="K4" t="inlineStr">
        <is>
          <t>2002-11-28</t>
        </is>
      </c>
      <c r="L4" t="n">
        <v>23</v>
      </c>
      <c r="M4" t="inlineStr">
        <is>
          <t>(442) 237-8092</t>
        </is>
      </c>
      <c r="N4" t="inlineStr">
        <is>
          <t>cruzmatiaskenny8@gmail.com</t>
        </is>
      </c>
      <c r="O4" t="inlineStr"/>
      <c r="P4" t="inlineStr"/>
      <c r="Q4" t="inlineStr"/>
      <c r="R4" t="inlineStr"/>
      <c r="S4" t="inlineStr"/>
      <c r="T4" t="inlineStr"/>
      <c r="U4" t="inlineStr"/>
      <c r="V4">
        <f>HYPERLINK("https://chmeetings.blob.core.windows.net/846969/attachments/Ws07x9gR0wAZUSi1q5NQ/dfab0bcf-a4de-43d1-9a71-2a3478c9db6c.jpg", "https://chmeetings.blob.core.windows.net/846969/attachments/Ws07x9gR0wAZUSi1q5NQ/dfab0bcf-a4de-43d1-9a71-2a3478c9db6c.jpg")</f>
        <v/>
      </c>
      <c r="W4" t="inlineStr">
        <is>
          <t>2026-05-02 20:07:44</t>
        </is>
      </c>
    </row>
    <row r="5">
      <c r="A5" t="inlineStr">
        <is>
          <t>SDC</t>
        </is>
      </c>
      <c r="B5" t="inlineStr">
        <is>
          <t>4361930</t>
        </is>
      </c>
      <c r="C5" t="inlineStr">
        <is>
          <t>Quang</t>
        </is>
      </c>
      <c r="D5" t="inlineStr">
        <is>
          <t>Duong</t>
        </is>
      </c>
      <c r="E5" t="inlineStr">
        <is>
          <t>Yes</t>
        </is>
      </c>
      <c r="F5" t="inlineStr">
        <is>
          <t>Yes</t>
        </is>
      </c>
      <c r="G5" t="inlineStr">
        <is>
          <t>24</t>
        </is>
      </c>
      <c r="H5" t="inlineStr">
        <is>
          <t>validated</t>
        </is>
      </c>
      <c r="I5" t="n">
        <v>0</v>
      </c>
      <c r="J5" t="inlineStr">
        <is>
          <t>Male</t>
        </is>
      </c>
      <c r="K5" t="inlineStr">
        <is>
          <t>2002-05-31</t>
        </is>
      </c>
      <c r="L5" t="n">
        <v>24</v>
      </c>
      <c r="M5" t="inlineStr">
        <is>
          <t>(619) 638-9596</t>
        </is>
      </c>
      <c r="N5" t="inlineStr">
        <is>
          <t>Qduong2605@gmail.com</t>
        </is>
      </c>
      <c r="O5" t="inlineStr"/>
      <c r="P5" t="inlineStr"/>
      <c r="Q5" t="inlineStr"/>
      <c r="R5" t="inlineStr"/>
      <c r="S5" t="inlineStr"/>
      <c r="T5" t="inlineStr"/>
      <c r="U5" t="inlineStr"/>
      <c r="V5">
        <f>HYPERLINK("https://chmeetings.blob.core.windows.net/846969/attachments/TkKY4kXMsECC0RXzudZ5tA/b84f2b40-fd84-416f-b1fe-87a8d863a84b.jpg", "https://chmeetings.blob.core.windows.net/846969/attachments/TkKY4kXMsECC0RXzudZ5tA/b84f2b40-fd84-416f-b1fe-87a8d863a84b.jpg")</f>
        <v/>
      </c>
      <c r="W5" t="inlineStr">
        <is>
          <t>2026-05-02 19:51:55</t>
        </is>
      </c>
    </row>
    <row r="6">
      <c r="A6" t="inlineStr">
        <is>
          <t>SDC</t>
        </is>
      </c>
      <c r="B6" t="inlineStr">
        <is>
          <t>3476582</t>
        </is>
      </c>
      <c r="C6" t="inlineStr">
        <is>
          <t>Viet</t>
        </is>
      </c>
      <c r="D6" t="inlineStr">
        <is>
          <t>Duong</t>
        </is>
      </c>
      <c r="E6" t="inlineStr">
        <is>
          <t>Yes</t>
        </is>
      </c>
      <c r="F6" t="inlineStr">
        <is>
          <t>Yes</t>
        </is>
      </c>
      <c r="G6" t="inlineStr">
        <is>
          <t>25</t>
        </is>
      </c>
      <c r="H6" t="inlineStr">
        <is>
          <t>validated</t>
        </is>
      </c>
      <c r="I6" t="n">
        <v>0</v>
      </c>
      <c r="J6" t="inlineStr">
        <is>
          <t>Male</t>
        </is>
      </c>
      <c r="K6" t="inlineStr">
        <is>
          <t>2000-10-31</t>
        </is>
      </c>
      <c r="L6" t="n">
        <v>25</v>
      </c>
      <c r="M6" t="inlineStr">
        <is>
          <t>(619) 227-8495</t>
        </is>
      </c>
      <c r="N6" t="inlineStr">
        <is>
          <t>vietduong152205@gmail.com</t>
        </is>
      </c>
      <c r="O6" t="inlineStr"/>
      <c r="P6" t="inlineStr"/>
      <c r="Q6" t="inlineStr"/>
      <c r="R6" t="inlineStr"/>
      <c r="S6" t="inlineStr"/>
      <c r="T6" t="inlineStr"/>
      <c r="U6" t="inlineStr"/>
      <c r="V6">
        <f>HYPERLINK("https://chmeetings.blob.core.windows.net/846969/attachments/Pnw3aHD5hEqlDsZTqeNkA/461b41a2-6769-490c-a301-c265e90ad64e.jpg", "https://chmeetings.blob.core.windows.net/846969/attachments/Pnw3aHD5hEqlDsZTqeNkA/461b41a2-6769-490c-a301-c265e90ad64e.jpg")</f>
        <v/>
      </c>
      <c r="W6" t="inlineStr">
        <is>
          <t>2026-05-02 20:06:49</t>
        </is>
      </c>
    </row>
    <row r="7">
      <c r="A7" t="inlineStr">
        <is>
          <t>SDC</t>
        </is>
      </c>
      <c r="B7" t="inlineStr">
        <is>
          <t>3635297</t>
        </is>
      </c>
      <c r="C7" t="inlineStr">
        <is>
          <t>Austin</t>
        </is>
      </c>
      <c r="D7" t="inlineStr">
        <is>
          <t>Huynh</t>
        </is>
      </c>
      <c r="E7" t="inlineStr">
        <is>
          <t>Yes</t>
        </is>
      </c>
      <c r="F7" t="inlineStr">
        <is>
          <t>Yes</t>
        </is>
      </c>
      <c r="G7" t="inlineStr">
        <is>
          <t>80</t>
        </is>
      </c>
      <c r="H7" t="inlineStr">
        <is>
          <t>validated</t>
        </is>
      </c>
      <c r="I7" t="n">
        <v>0</v>
      </c>
      <c r="J7" t="inlineStr">
        <is>
          <t>Male</t>
        </is>
      </c>
      <c r="K7" t="inlineStr">
        <is>
          <t>2006-01-31</t>
        </is>
      </c>
      <c r="L7" t="n">
        <v>20</v>
      </c>
      <c r="M7" t="inlineStr">
        <is>
          <t>(858) 880-6520</t>
        </is>
      </c>
      <c r="N7" t="inlineStr">
        <is>
          <t>aahuynh2006@gmail.com</t>
        </is>
      </c>
      <c r="O7" t="inlineStr"/>
      <c r="P7" t="inlineStr"/>
      <c r="Q7" t="inlineStr"/>
      <c r="R7" t="inlineStr"/>
      <c r="S7" t="inlineStr"/>
      <c r="T7" t="inlineStr"/>
      <c r="U7" t="inlineStr"/>
      <c r="V7">
        <f>HYPERLINK("https://chmeetings.blob.core.windows.net/846969/attachments/1JIaBiZw5UyOOxG8LNs6jw/c5690af5-0305-4818-b5f0-4e91868e4dd4.jpg", "https://chmeetings.blob.core.windows.net/846969/attachments/1JIaBiZw5UyOOxG8LNs6jw/c5690af5-0305-4818-b5f0-4e91868e4dd4.jpg")</f>
        <v/>
      </c>
      <c r="W7" t="inlineStr">
        <is>
          <t>2026-05-03 22:00:01</t>
        </is>
      </c>
    </row>
    <row r="8">
      <c r="A8" t="inlineStr">
        <is>
          <t>SDC</t>
        </is>
      </c>
      <c r="B8" t="inlineStr">
        <is>
          <t>3636572</t>
        </is>
      </c>
      <c r="C8" t="inlineStr">
        <is>
          <t>Jacob</t>
        </is>
      </c>
      <c r="D8" t="inlineStr">
        <is>
          <t>Huynh</t>
        </is>
      </c>
      <c r="E8" t="inlineStr">
        <is>
          <t>Yes</t>
        </is>
      </c>
      <c r="F8" t="inlineStr">
        <is>
          <t>Yes</t>
        </is>
      </c>
      <c r="G8" t="inlineStr">
        <is>
          <t>82</t>
        </is>
      </c>
      <c r="H8" t="inlineStr">
        <is>
          <t>validated</t>
        </is>
      </c>
      <c r="I8" t="n">
        <v>0</v>
      </c>
      <c r="J8" t="inlineStr">
        <is>
          <t>Male</t>
        </is>
      </c>
      <c r="K8" t="inlineStr">
        <is>
          <t>2003-03-25</t>
        </is>
      </c>
      <c r="L8" t="n">
        <v>23</v>
      </c>
      <c r="M8" t="inlineStr">
        <is>
          <t>(858) 375-6646</t>
        </is>
      </c>
      <c r="N8" t="inlineStr">
        <is>
          <t>JACOBHUYNH09@GMAIL.COM</t>
        </is>
      </c>
      <c r="O8" t="inlineStr"/>
      <c r="P8" t="inlineStr"/>
      <c r="Q8" t="inlineStr"/>
      <c r="R8" t="inlineStr"/>
      <c r="S8" t="inlineStr"/>
      <c r="T8" t="inlineStr"/>
      <c r="U8" t="inlineStr"/>
      <c r="V8">
        <f>HYPERLINK("https://chmeetings.blob.core.windows.net/846969/attachments/Kfbvgrxge0GMOiKuoSztng/704fbe0f-6065-4a44-95c1-1f57f4eba03d.jpg", "https://chmeetings.blob.core.windows.net/846969/attachments/Kfbvgrxge0GMOiKuoSztng/704fbe0f-6065-4a44-95c1-1f57f4eba03d.jpg")</f>
        <v/>
      </c>
      <c r="W8" t="inlineStr">
        <is>
          <t>2026-05-03 21:52:28</t>
        </is>
      </c>
    </row>
    <row r="9">
      <c r="A9" t="inlineStr">
        <is>
          <t>SDC</t>
        </is>
      </c>
      <c r="B9" t="inlineStr">
        <is>
          <t>3632190</t>
        </is>
      </c>
      <c r="C9" t="inlineStr">
        <is>
          <t>Andrew</t>
        </is>
      </c>
      <c r="D9" t="inlineStr">
        <is>
          <t>Mai</t>
        </is>
      </c>
      <c r="E9" t="inlineStr">
        <is>
          <t>Yes</t>
        </is>
      </c>
      <c r="F9" t="inlineStr">
        <is>
          <t>Yes</t>
        </is>
      </c>
      <c r="G9" t="inlineStr">
        <is>
          <t>19</t>
        </is>
      </c>
      <c r="H9" t="inlineStr">
        <is>
          <t>validated</t>
        </is>
      </c>
      <c r="I9" t="n">
        <v>0</v>
      </c>
      <c r="J9" t="inlineStr">
        <is>
          <t>Male</t>
        </is>
      </c>
      <c r="K9" t="inlineStr">
        <is>
          <t>2002-03-31</t>
        </is>
      </c>
      <c r="L9" t="n">
        <v>24</v>
      </c>
      <c r="M9" t="inlineStr">
        <is>
          <t>(858) 610-3688</t>
        </is>
      </c>
      <c r="N9" t="inlineStr">
        <is>
          <t>andrewmai78@gmail.com</t>
        </is>
      </c>
      <c r="O9" t="inlineStr"/>
      <c r="P9" t="inlineStr">
        <is>
          <t>1. Correct identity, gender, age range</t>
        </is>
      </c>
      <c r="Q9" t="inlineStr">
        <is>
          <t>2. Consent Form Signed by Self or Parents</t>
        </is>
      </c>
      <c r="R9" t="inlineStr"/>
      <c r="S9" t="inlineStr">
        <is>
          <t>4. Valid Photo as ID for event check-in</t>
        </is>
      </c>
      <c r="T9" t="inlineStr"/>
      <c r="U9" t="inlineStr"/>
      <c r="V9">
        <f>HYPERLINK("https://chmeetings.blob.core.windows.net/846969/attachments/v0KbVU03nUuXUrWpKoeQBA/635703c8-a438-4dc9-8ba8-8dc18fd00312.jpg", "https://chmeetings.blob.core.windows.net/846969/attachments/v0KbVU03nUuXUrWpKoeQBA/635703c8-a438-4dc9-8ba8-8dc18fd00312.jpg")</f>
        <v/>
      </c>
      <c r="W9" t="inlineStr">
        <is>
          <t>2026-05-02 19:47:00</t>
        </is>
      </c>
    </row>
    <row r="10">
      <c r="A10" t="inlineStr">
        <is>
          <t>SDC</t>
        </is>
      </c>
      <c r="B10" t="inlineStr">
        <is>
          <t>3631509</t>
        </is>
      </c>
      <c r="C10" t="inlineStr">
        <is>
          <t>Christine</t>
        </is>
      </c>
      <c r="D10" t="inlineStr">
        <is>
          <t>Ngo</t>
        </is>
      </c>
      <c r="E10" t="inlineStr">
        <is>
          <t>Yes</t>
        </is>
      </c>
      <c r="F10" t="inlineStr">
        <is>
          <t>Yes</t>
        </is>
      </c>
      <c r="G10" t="inlineStr">
        <is>
          <t>81</t>
        </is>
      </c>
      <c r="H10" t="inlineStr">
        <is>
          <t>validated</t>
        </is>
      </c>
      <c r="I10" t="n">
        <v>0</v>
      </c>
      <c r="J10" t="inlineStr">
        <is>
          <t>Female</t>
        </is>
      </c>
      <c r="K10" t="inlineStr">
        <is>
          <t>2001-02-14</t>
        </is>
      </c>
      <c r="L10" t="n">
        <v>25</v>
      </c>
      <c r="M10" t="inlineStr">
        <is>
          <t>(858) 531-0418</t>
        </is>
      </c>
      <c r="N10" t="inlineStr">
        <is>
          <t>ctngo23@gmail.com</t>
        </is>
      </c>
      <c r="O10" t="inlineStr"/>
      <c r="P10" t="inlineStr"/>
      <c r="Q10" t="inlineStr"/>
      <c r="R10" t="inlineStr"/>
      <c r="S10" t="inlineStr"/>
      <c r="T10" t="inlineStr"/>
      <c r="U10" t="inlineStr"/>
      <c r="V10">
        <f>HYPERLINK("https://chmeetings.blob.core.windows.net/846969/attachments/qHFzw2su0EaXZVKX3nFTw/64676df0-467f-47ec-9834-a4285178e62b.jpg", "https://chmeetings.blob.core.windows.net/846969/attachments/qHFzw2su0EaXZVKX3nFTw/64676df0-467f-47ec-9834-a4285178e62b.jpg")</f>
        <v/>
      </c>
      <c r="W10" t="inlineStr">
        <is>
          <t>2026-05-03 21:51:51</t>
        </is>
      </c>
    </row>
    <row r="11">
      <c r="A11" t="inlineStr">
        <is>
          <t>SDC</t>
        </is>
      </c>
      <c r="B11" t="inlineStr">
        <is>
          <t>3634932</t>
        </is>
      </c>
      <c r="C11" t="inlineStr">
        <is>
          <t>Esther</t>
        </is>
      </c>
      <c r="D11" t="inlineStr">
        <is>
          <t>Ngo</t>
        </is>
      </c>
      <c r="E11" t="inlineStr">
        <is>
          <t>Yes</t>
        </is>
      </c>
      <c r="F11" t="inlineStr">
        <is>
          <t>Yes</t>
        </is>
      </c>
      <c r="G11" t="inlineStr">
        <is>
          <t>20</t>
        </is>
      </c>
      <c r="H11" t="inlineStr">
        <is>
          <t>validated</t>
        </is>
      </c>
      <c r="I11" t="n">
        <v>0</v>
      </c>
      <c r="J11" t="inlineStr">
        <is>
          <t>Female</t>
        </is>
      </c>
      <c r="K11" t="inlineStr">
        <is>
          <t>2003-05-30</t>
        </is>
      </c>
      <c r="L11" t="n">
        <v>23</v>
      </c>
      <c r="M11" t="inlineStr">
        <is>
          <t>(619) 301-7384</t>
        </is>
      </c>
      <c r="N11" t="inlineStr">
        <is>
          <t>esther.ngo1222@gmail.com</t>
        </is>
      </c>
      <c r="O11" t="inlineStr"/>
      <c r="P11" t="inlineStr">
        <is>
          <t>1. Correct identity, gender, age range</t>
        </is>
      </c>
      <c r="Q11" t="inlineStr">
        <is>
          <t>2. Consent Form Signed by Self or Parents</t>
        </is>
      </c>
      <c r="R11" t="inlineStr"/>
      <c r="S11" t="inlineStr">
        <is>
          <t>4. Valid Photo as ID for event check-in</t>
        </is>
      </c>
      <c r="T11" t="inlineStr"/>
      <c r="U11" t="inlineStr"/>
      <c r="V11">
        <f>HYPERLINK("https://chmeetings.blob.core.windows.net/846969/attachments/WqLDZlxmt0iD9mbVC64Uw/f643734c-922a-40e4-8cd8-24b44d5a9b84.jpg", "https://chmeetings.blob.core.windows.net/846969/attachments/WqLDZlxmt0iD9mbVC64Uw/f643734c-922a-40e4-8cd8-24b44d5a9b84.jpg")</f>
        <v/>
      </c>
      <c r="W11" t="inlineStr">
        <is>
          <t>2026-05-02 20:05:01</t>
        </is>
      </c>
    </row>
    <row r="12">
      <c r="A12" t="inlineStr">
        <is>
          <t>SDC</t>
        </is>
      </c>
      <c r="B12" t="inlineStr">
        <is>
          <t>4361942</t>
        </is>
      </c>
      <c r="C12" t="inlineStr">
        <is>
          <t>Ly</t>
        </is>
      </c>
      <c r="D12" t="inlineStr">
        <is>
          <t>Nguyen</t>
        </is>
      </c>
      <c r="E12" t="inlineStr">
        <is>
          <t>Yes</t>
        </is>
      </c>
      <c r="F12" t="inlineStr">
        <is>
          <t>Yes</t>
        </is>
      </c>
      <c r="G12" t="inlineStr">
        <is>
          <t>22</t>
        </is>
      </c>
      <c r="H12" t="inlineStr">
        <is>
          <t>validated</t>
        </is>
      </c>
      <c r="I12" t="n">
        <v>0</v>
      </c>
      <c r="J12" t="inlineStr">
        <is>
          <t>Female</t>
        </is>
      </c>
      <c r="K12" t="inlineStr">
        <is>
          <t>2003-08-18</t>
        </is>
      </c>
      <c r="L12" t="n">
        <v>22</v>
      </c>
      <c r="M12" t="inlineStr">
        <is>
          <t>(619) 724-8444</t>
        </is>
      </c>
      <c r="N12" t="inlineStr">
        <is>
          <t>Nguyenly0818@yahoo.com</t>
        </is>
      </c>
      <c r="O12" t="inlineStr"/>
      <c r="P12" t="inlineStr"/>
      <c r="Q12" t="inlineStr"/>
      <c r="R12" t="inlineStr"/>
      <c r="S12" t="inlineStr"/>
      <c r="T12" t="inlineStr"/>
      <c r="U12" t="inlineStr"/>
      <c r="V12">
        <f>HYPERLINK("https://chmeetings.blob.core.windows.net/846969/attachments/oBxVmMKo9U2QdhPSUPgpfg/1595e1f5-6f42-49d1-a76e-b49ba082ce9e.jpg", "https://chmeetings.blob.core.windows.net/846969/attachments/oBxVmMKo9U2QdhPSUPgpfg/1595e1f5-6f42-49d1-a76e-b49ba082ce9e.jpg")</f>
        <v/>
      </c>
      <c r="W12" t="inlineStr">
        <is>
          <t>2026-05-02 20:07:16</t>
        </is>
      </c>
    </row>
    <row r="13">
      <c r="A13" t="inlineStr">
        <is>
          <t>SDC</t>
        </is>
      </c>
      <c r="B13" t="inlineStr">
        <is>
          <t>3635885</t>
        </is>
      </c>
      <c r="C13" t="inlineStr">
        <is>
          <t>Nathan</t>
        </is>
      </c>
      <c r="D13" t="inlineStr">
        <is>
          <t>Nguyen</t>
        </is>
      </c>
      <c r="E13" t="inlineStr">
        <is>
          <t>Yes</t>
        </is>
      </c>
      <c r="F13" t="inlineStr">
        <is>
          <t>Yes</t>
        </is>
      </c>
      <c r="G13" t="inlineStr">
        <is>
          <t>84</t>
        </is>
      </c>
      <c r="H13" t="inlineStr">
        <is>
          <t>validated</t>
        </is>
      </c>
      <c r="I13" t="n">
        <v>0</v>
      </c>
      <c r="J13" t="inlineStr">
        <is>
          <t>Male</t>
        </is>
      </c>
      <c r="K13" t="inlineStr">
        <is>
          <t>2008-01-30</t>
        </is>
      </c>
      <c r="L13" t="n">
        <v>18</v>
      </c>
      <c r="M13" t="inlineStr">
        <is>
          <t>(619) 218-6042</t>
        </is>
      </c>
      <c r="N13" t="inlineStr">
        <is>
          <t>nathan.cv.nguyen@gmail.com</t>
        </is>
      </c>
      <c r="O13" t="inlineStr"/>
      <c r="P13" t="inlineStr"/>
      <c r="Q13" t="inlineStr"/>
      <c r="R13" t="inlineStr"/>
      <c r="S13" t="inlineStr"/>
      <c r="T13" t="inlineStr"/>
      <c r="U13" t="inlineStr"/>
      <c r="V13">
        <f>HYPERLINK("https://chmeetings.blob.core.windows.net/846969/attachments/r1jarmgNdU2vRI9LrvQIug/afb53597-c751-4247-a104-a4129b1f39e6.jpg", "https://chmeetings.blob.core.windows.net/846969/attachments/r1jarmgNdU2vRI9LrvQIug/afb53597-c751-4247-a104-a4129b1f39e6.jpg")</f>
        <v/>
      </c>
      <c r="W13" t="inlineStr">
        <is>
          <t>2026-05-03 21:51:26</t>
        </is>
      </c>
    </row>
    <row r="14">
      <c r="A14" t="inlineStr">
        <is>
          <t>SDC</t>
        </is>
      </c>
      <c r="B14" t="inlineStr">
        <is>
          <t>3554516</t>
        </is>
      </c>
      <c r="C14" t="inlineStr">
        <is>
          <t>Katie</t>
        </is>
      </c>
      <c r="D14" t="inlineStr">
        <is>
          <t>Tu</t>
        </is>
      </c>
      <c r="E14" t="inlineStr">
        <is>
          <t>Yes</t>
        </is>
      </c>
      <c r="F14" t="inlineStr">
        <is>
          <t>Yes</t>
        </is>
      </c>
      <c r="G14" t="inlineStr">
        <is>
          <t>83</t>
        </is>
      </c>
      <c r="H14" t="inlineStr">
        <is>
          <t>validated</t>
        </is>
      </c>
      <c r="I14" t="n">
        <v>0</v>
      </c>
      <c r="J14" t="inlineStr">
        <is>
          <t>Female</t>
        </is>
      </c>
      <c r="K14" t="inlineStr">
        <is>
          <t>2002-09-01</t>
        </is>
      </c>
      <c r="L14" t="n">
        <v>23</v>
      </c>
      <c r="M14" t="inlineStr">
        <is>
          <t>(619) 514-9303</t>
        </is>
      </c>
      <c r="N14" t="inlineStr">
        <is>
          <t>katietuu@gmail.com</t>
        </is>
      </c>
      <c r="O14" t="inlineStr"/>
      <c r="P14" t="inlineStr"/>
      <c r="Q14" t="inlineStr"/>
      <c r="R14" t="inlineStr"/>
      <c r="S14" t="inlineStr"/>
      <c r="T14" t="inlineStr"/>
      <c r="U14" t="inlineStr"/>
      <c r="V14">
        <f>HYPERLINK("https://chmeetings.blob.core.windows.net/846969/attachments/bqJr0cNbxkGuCD7FEwTwSg/5d344889-f820-4fd5-b45c-f7d157a0386e.jpg", "https://chmeetings.blob.core.windows.net/846969/attachments/bqJr0cNbxkGuCD7FEwTwSg/5d344889-f820-4fd5-b45c-f7d157a0386e.jpg")</f>
        <v/>
      </c>
      <c r="W14" t="inlineStr">
        <is>
          <t>2026-05-03 21:59:50</t>
        </is>
      </c>
    </row>
  </sheetData>
  <autoFilter ref="A1:W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5" customWidth="1" min="7" max="7"/>
    <col width="3.5" customWidth="1" min="8" max="8"/>
    <col width="5" customWidth="1" min="9" max="9"/>
    <col width="9" customWidth="1" min="10" max="10"/>
    <col width="9" customWidth="1" min="11" max="11"/>
    <col width="14" customWidth="1" min="12" max="12"/>
    <col width="7" customWidth="1" min="13" max="13"/>
    <col width="8" customWidth="1" min="14" max="14"/>
    <col width="4" customWidth="1" min="15" max="15"/>
    <col width="7" customWidth="1" min="16" max="16"/>
    <col width="7" customWidth="1" min="17" max="17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</row>
    <row r="2">
      <c r="A2" t="inlineStr">
        <is>
          <t>SDC</t>
        </is>
      </c>
      <c r="B2" t="inlineStr">
        <is>
          <t>4361930</t>
        </is>
      </c>
      <c r="C2" t="inlineStr">
        <is>
          <t>24</t>
        </is>
      </c>
      <c r="D2" t="inlineStr">
        <is>
          <t>validated</t>
        </is>
      </c>
      <c r="E2" t="b">
        <v>1</v>
      </c>
      <c r="F2">
        <f>IMAGE("https://chmeetings.blob.core.windows.net/846969/attachments/TkKY4kXMsECC0RXzudZ5tA/b84f2b40-fd84-416f-b1fe-87a8d863a84b.jpg")</f>
        <v/>
      </c>
      <c r="G2" t="inlineStr">
        <is>
          <t>Quang</t>
        </is>
      </c>
      <c r="H2" t="inlineStr">
        <is>
          <t>Duong</t>
        </is>
      </c>
      <c r="I2" t="inlineStr">
        <is>
          <t>Male</t>
        </is>
      </c>
      <c r="J2" t="n">
        <v>24</v>
      </c>
      <c r="K2" t="inlineStr">
        <is>
          <t>(619) 638-9596</t>
        </is>
      </c>
      <c r="L2" t="inlineStr">
        <is>
          <t>Qduong2605@gmail.com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Tri Nguyen</t>
        </is>
      </c>
    </row>
    <row r="3">
      <c r="A3" t="inlineStr">
        <is>
          <t>SDC</t>
        </is>
      </c>
      <c r="B3" t="inlineStr">
        <is>
          <t>3476582</t>
        </is>
      </c>
      <c r="C3" t="inlineStr">
        <is>
          <t>25</t>
        </is>
      </c>
      <c r="D3" t="inlineStr">
        <is>
          <t>validated</t>
        </is>
      </c>
      <c r="E3" t="b">
        <v>1</v>
      </c>
      <c r="F3">
        <f>IMAGE("https://chmeetings.blob.core.windows.net/846969/attachments/Pnw3aHD5hEqlDsZTqeNkA/461b41a2-6769-490c-a301-c265e90ad64e.jpg")</f>
        <v/>
      </c>
      <c r="G3" t="inlineStr">
        <is>
          <t>Viet</t>
        </is>
      </c>
      <c r="H3" t="inlineStr">
        <is>
          <t>Duong</t>
        </is>
      </c>
      <c r="I3" t="inlineStr">
        <is>
          <t>Male</t>
        </is>
      </c>
      <c r="J3" t="n">
        <v>25</v>
      </c>
      <c r="K3" t="inlineStr">
        <is>
          <t>(619) 227-8495</t>
        </is>
      </c>
      <c r="L3" t="inlineStr">
        <is>
          <t>vietduong152205@gmail.com</t>
        </is>
      </c>
      <c r="M3" t="inlineStr">
        <is>
          <t>Badminton</t>
        </is>
      </c>
      <c r="N3" t="inlineStr">
        <is>
          <t>Men</t>
        </is>
      </c>
      <c r="O3" t="inlineStr">
        <is>
          <t>Doubles</t>
        </is>
      </c>
      <c r="P3" t="inlineStr"/>
      <c r="Q3" t="inlineStr">
        <is>
          <t>Jacob Huynh</t>
        </is>
      </c>
    </row>
    <row r="4">
      <c r="A4" t="inlineStr">
        <is>
          <t>SDC</t>
        </is>
      </c>
      <c r="B4" t="inlineStr">
        <is>
          <t>3636572</t>
        </is>
      </c>
      <c r="C4" t="inlineStr">
        <is>
          <t>82</t>
        </is>
      </c>
      <c r="D4" t="inlineStr">
        <is>
          <t>validated</t>
        </is>
      </c>
      <c r="E4" t="b">
        <v>1</v>
      </c>
      <c r="F4">
        <f>IMAGE("https://chmeetings.blob.core.windows.net/846969/attachments/Kfbvgrxge0GMOiKuoSztng/704fbe0f-6065-4a44-95c1-1f57f4eba03d.jpg")</f>
        <v/>
      </c>
      <c r="G4" t="inlineStr">
        <is>
          <t>Jacob</t>
        </is>
      </c>
      <c r="H4" t="inlineStr">
        <is>
          <t>Huynh</t>
        </is>
      </c>
      <c r="I4" t="inlineStr">
        <is>
          <t>Male</t>
        </is>
      </c>
      <c r="J4" t="n">
        <v>23</v>
      </c>
      <c r="K4" t="inlineStr">
        <is>
          <t>(858) 375-6646</t>
        </is>
      </c>
      <c r="L4" t="inlineStr">
        <is>
          <t>JACOBHUYNH09@GMAIL.COM</t>
        </is>
      </c>
      <c r="M4" t="inlineStr">
        <is>
          <t>Badminton</t>
        </is>
      </c>
      <c r="N4" t="inlineStr">
        <is>
          <t>Men</t>
        </is>
      </c>
      <c r="O4" t="inlineStr">
        <is>
          <t>Doubles</t>
        </is>
      </c>
      <c r="P4" t="inlineStr"/>
      <c r="Q4" t="inlineStr">
        <is>
          <t>Viet Duong</t>
        </is>
      </c>
    </row>
    <row r="5">
      <c r="A5" t="inlineStr">
        <is>
          <t>SDC</t>
        </is>
      </c>
      <c r="B5" t="inlineStr">
        <is>
          <t>3634932</t>
        </is>
      </c>
      <c r="C5" t="inlineStr">
        <is>
          <t>20</t>
        </is>
      </c>
      <c r="D5" t="inlineStr">
        <is>
          <t>validated</t>
        </is>
      </c>
      <c r="E5" t="b">
        <v>1</v>
      </c>
      <c r="F5">
        <f>IMAGE("https://chmeetings.blob.core.windows.net/846969/attachments/WqLDZlxmt0iD9mbVC64Uw/f643734c-922a-40e4-8cd8-24b44d5a9b84.jpg")</f>
        <v/>
      </c>
      <c r="G5" t="inlineStr">
        <is>
          <t>Esther</t>
        </is>
      </c>
      <c r="H5" t="inlineStr">
        <is>
          <t>Ngo</t>
        </is>
      </c>
      <c r="I5" t="inlineStr">
        <is>
          <t>Female</t>
        </is>
      </c>
      <c r="J5" t="n">
        <v>23</v>
      </c>
      <c r="K5" t="inlineStr">
        <is>
          <t>(619) 301-7384</t>
        </is>
      </c>
      <c r="L5" t="inlineStr">
        <is>
          <t>esther.ngo1222@gmail.com</t>
        </is>
      </c>
      <c r="M5" t="inlineStr">
        <is>
          <t>Badminton</t>
        </is>
      </c>
      <c r="N5" t="inlineStr">
        <is>
          <t>Mixed</t>
        </is>
      </c>
      <c r="O5" t="inlineStr">
        <is>
          <t>Doubles</t>
        </is>
      </c>
      <c r="P5" t="inlineStr"/>
      <c r="Q5" t="inlineStr">
        <is>
          <t>Joseph Ngo</t>
        </is>
      </c>
    </row>
    <row r="6">
      <c r="A6" t="inlineStr">
        <is>
          <t>SDC</t>
        </is>
      </c>
      <c r="B6" t="inlineStr">
        <is>
          <t>3631509</t>
        </is>
      </c>
      <c r="C6" t="inlineStr">
        <is>
          <t>81</t>
        </is>
      </c>
      <c r="D6" t="inlineStr">
        <is>
          <t>validated</t>
        </is>
      </c>
      <c r="E6" t="b">
        <v>1</v>
      </c>
      <c r="F6">
        <f>IMAGE("https://chmeetings.blob.core.windows.net/846969/attachments/qHFzw2su0EaXZVKX3nFTw/64676df0-467f-47ec-9834-a4285178e62b.jpg")</f>
        <v/>
      </c>
      <c r="G6" t="inlineStr">
        <is>
          <t>Christine</t>
        </is>
      </c>
      <c r="H6" t="inlineStr">
        <is>
          <t>Ngo</t>
        </is>
      </c>
      <c r="I6" t="inlineStr">
        <is>
          <t>Female</t>
        </is>
      </c>
      <c r="J6" t="n">
        <v>25</v>
      </c>
      <c r="K6" t="inlineStr">
        <is>
          <t>(858) 531-0418</t>
        </is>
      </c>
      <c r="L6" t="inlineStr">
        <is>
          <t>ctngo23@gmail.com</t>
        </is>
      </c>
      <c r="M6" t="inlineStr">
        <is>
          <t>Badminton</t>
        </is>
      </c>
      <c r="N6" t="inlineStr">
        <is>
          <t>Women</t>
        </is>
      </c>
      <c r="O6" t="inlineStr">
        <is>
          <t>Doubles</t>
        </is>
      </c>
      <c r="P6" t="inlineStr"/>
      <c r="Q6" t="inlineStr">
        <is>
          <t>Katie Tu</t>
        </is>
      </c>
    </row>
    <row r="7">
      <c r="A7" t="inlineStr">
        <is>
          <t>SDC</t>
        </is>
      </c>
      <c r="B7" t="inlineStr">
        <is>
          <t>3554516</t>
        </is>
      </c>
      <c r="C7" t="inlineStr">
        <is>
          <t>83</t>
        </is>
      </c>
      <c r="D7" t="inlineStr">
        <is>
          <t>validated</t>
        </is>
      </c>
      <c r="E7" t="b">
        <v>1</v>
      </c>
      <c r="F7">
        <f>IMAGE("https://chmeetings.blob.core.windows.net/846969/attachments/bqJr0cNbxkGuCD7FEwTwSg/5d344889-f820-4fd5-b45c-f7d157a0386e.jpg")</f>
        <v/>
      </c>
      <c r="G7" t="inlineStr">
        <is>
          <t>Katie</t>
        </is>
      </c>
      <c r="H7" t="inlineStr">
        <is>
          <t>Tu</t>
        </is>
      </c>
      <c r="I7" t="inlineStr">
        <is>
          <t>Female</t>
        </is>
      </c>
      <c r="J7" t="n">
        <v>23</v>
      </c>
      <c r="K7" t="inlineStr">
        <is>
          <t>(619) 514-9303</t>
        </is>
      </c>
      <c r="L7" t="inlineStr">
        <is>
          <t>katietuu@gmail.com</t>
        </is>
      </c>
      <c r="M7" t="inlineStr">
        <is>
          <t>Badminton</t>
        </is>
      </c>
      <c r="N7" t="inlineStr">
        <is>
          <t>Women</t>
        </is>
      </c>
      <c r="O7" t="inlineStr">
        <is>
          <t>Doubles</t>
        </is>
      </c>
      <c r="P7" t="inlineStr"/>
      <c r="Q7" t="inlineStr">
        <is>
          <t>Christine Ngo</t>
        </is>
      </c>
    </row>
    <row r="8">
      <c r="A8" t="inlineStr">
        <is>
          <t>SDC</t>
        </is>
      </c>
      <c r="B8" t="inlineStr">
        <is>
          <t>4361942</t>
        </is>
      </c>
      <c r="C8" t="inlineStr">
        <is>
          <t>22</t>
        </is>
      </c>
      <c r="D8" t="inlineStr">
        <is>
          <t>validated</t>
        </is>
      </c>
      <c r="E8" t="b">
        <v>1</v>
      </c>
      <c r="F8">
        <f>IMAGE("https://chmeetings.blob.core.windows.net/846969/attachments/oBxVmMKo9U2QdhPSUPgpfg/1595e1f5-6f42-49d1-a76e-b49ba082ce9e.jpg")</f>
        <v/>
      </c>
      <c r="G8" t="inlineStr">
        <is>
          <t>Ly</t>
        </is>
      </c>
      <c r="H8" t="inlineStr">
        <is>
          <t>Nguyen</t>
        </is>
      </c>
      <c r="I8" t="inlineStr">
        <is>
          <t>Female</t>
        </is>
      </c>
      <c r="J8" t="n">
        <v>22</v>
      </c>
      <c r="K8" t="inlineStr">
        <is>
          <t>(619) 724-8444</t>
        </is>
      </c>
      <c r="L8" t="inlineStr">
        <is>
          <t>Nguyenly0818@yahoo.com</t>
        </is>
      </c>
      <c r="M8" t="inlineStr">
        <is>
          <t>Pickleball</t>
        </is>
      </c>
      <c r="N8" t="inlineStr">
        <is>
          <t>Women</t>
        </is>
      </c>
      <c r="O8" t="inlineStr">
        <is>
          <t>Doubles</t>
        </is>
      </c>
      <c r="P8" t="inlineStr"/>
      <c r="Q8" t="inlineStr">
        <is>
          <t>Katie Tu</t>
        </is>
      </c>
    </row>
    <row r="9">
      <c r="A9" t="inlineStr">
        <is>
          <t>SDC</t>
        </is>
      </c>
      <c r="B9" t="inlineStr">
        <is>
          <t>3554516</t>
        </is>
      </c>
      <c r="C9" t="inlineStr">
        <is>
          <t>83</t>
        </is>
      </c>
      <c r="D9" t="inlineStr">
        <is>
          <t>validated</t>
        </is>
      </c>
      <c r="E9" t="b">
        <v>1</v>
      </c>
      <c r="F9">
        <f>IMAGE("https://chmeetings.blob.core.windows.net/846969/attachments/bqJr0cNbxkGuCD7FEwTwSg/5d344889-f820-4fd5-b45c-f7d157a0386e.jpg")</f>
        <v/>
      </c>
      <c r="G9" t="inlineStr">
        <is>
          <t>Katie</t>
        </is>
      </c>
      <c r="H9" t="inlineStr">
        <is>
          <t>Tu</t>
        </is>
      </c>
      <c r="I9" t="inlineStr">
        <is>
          <t>Female</t>
        </is>
      </c>
      <c r="J9" t="n">
        <v>23</v>
      </c>
      <c r="K9" t="inlineStr">
        <is>
          <t>(619) 514-9303</t>
        </is>
      </c>
      <c r="L9" t="inlineStr">
        <is>
          <t>katietuu@gmail.com</t>
        </is>
      </c>
      <c r="M9" t="inlineStr">
        <is>
          <t>Pickleball</t>
        </is>
      </c>
      <c r="N9" t="inlineStr">
        <is>
          <t>Women</t>
        </is>
      </c>
      <c r="O9" t="inlineStr">
        <is>
          <t>Doubles</t>
        </is>
      </c>
      <c r="P9" t="inlineStr"/>
      <c r="Q9" t="inlineStr">
        <is>
          <t>Ly Nguyen</t>
        </is>
      </c>
    </row>
    <row r="10">
      <c r="A10" t="inlineStr">
        <is>
          <t>SDC</t>
        </is>
      </c>
      <c r="B10" t="inlineStr">
        <is>
          <t>3634404</t>
        </is>
      </c>
      <c r="C10" t="inlineStr">
        <is>
          <t>21</t>
        </is>
      </c>
      <c r="D10" t="inlineStr">
        <is>
          <t>validated</t>
        </is>
      </c>
      <c r="E10" t="b">
        <v>1</v>
      </c>
      <c r="F10">
        <f>IMAGE("https://chmeetings.blob.core.windows.net/846969/attachments/Ws07x9gR0wAZUSi1q5NQ/dfab0bcf-a4de-43d1-9a71-2a3478c9db6c.jpg")</f>
        <v/>
      </c>
      <c r="G10" t="inlineStr">
        <is>
          <t>Kenneth</t>
        </is>
      </c>
      <c r="H10" t="inlineStr">
        <is>
          <t>Cruz Matias</t>
        </is>
      </c>
      <c r="I10" t="inlineStr">
        <is>
          <t>Male</t>
        </is>
      </c>
      <c r="J10" t="n">
        <v>23</v>
      </c>
      <c r="K10" t="inlineStr">
        <is>
          <t>(442) 237-8092</t>
        </is>
      </c>
      <c r="L10" t="inlineStr">
        <is>
          <t>cruzmatiaskenny8@gmail.com</t>
        </is>
      </c>
      <c r="M10" t="inlineStr">
        <is>
          <t>Table Tennis</t>
        </is>
      </c>
      <c r="N10" t="inlineStr">
        <is>
          <t>Men</t>
        </is>
      </c>
      <c r="O10" t="inlineStr">
        <is>
          <t>Doubles</t>
        </is>
      </c>
      <c r="P10" t="inlineStr"/>
      <c r="Q10" t="inlineStr">
        <is>
          <t>John Huang Le</t>
        </is>
      </c>
    </row>
    <row r="11">
      <c r="A11" t="inlineStr">
        <is>
          <t>SDC</t>
        </is>
      </c>
      <c r="B11" t="inlineStr">
        <is>
          <t>3634404</t>
        </is>
      </c>
      <c r="C11" t="inlineStr">
        <is>
          <t>21</t>
        </is>
      </c>
      <c r="D11" t="inlineStr">
        <is>
          <t>validated</t>
        </is>
      </c>
      <c r="E11" t="b">
        <v>1</v>
      </c>
      <c r="F11">
        <f>IMAGE("https://chmeetings.blob.core.windows.net/846969/attachments/Ws07x9gR0wAZUSi1q5NQ/dfab0bcf-a4de-43d1-9a71-2a3478c9db6c.jpg")</f>
        <v/>
      </c>
      <c r="G11" t="inlineStr">
        <is>
          <t>Kenneth</t>
        </is>
      </c>
      <c r="H11" t="inlineStr">
        <is>
          <t>Cruz Matias</t>
        </is>
      </c>
      <c r="I11" t="inlineStr">
        <is>
          <t>Male</t>
        </is>
      </c>
      <c r="J11" t="n">
        <v>23</v>
      </c>
      <c r="K11" t="inlineStr">
        <is>
          <t>(442) 237-8092</t>
        </is>
      </c>
      <c r="L11" t="inlineStr">
        <is>
          <t>cruzmatiaskenny8@gmail.com</t>
        </is>
      </c>
      <c r="M11" t="inlineStr">
        <is>
          <t>Table Tennis</t>
        </is>
      </c>
      <c r="N11" t="inlineStr">
        <is>
          <t>Men</t>
        </is>
      </c>
      <c r="O11" t="inlineStr">
        <is>
          <t>Singles</t>
        </is>
      </c>
      <c r="P11" t="inlineStr"/>
      <c r="Q11" t="inlineStr"/>
    </row>
    <row r="12">
      <c r="A12" t="inlineStr">
        <is>
          <t>SDC</t>
        </is>
      </c>
      <c r="B12" t="inlineStr">
        <is>
          <t>3476582</t>
        </is>
      </c>
      <c r="C12" t="inlineStr">
        <is>
          <t>25</t>
        </is>
      </c>
      <c r="D12" t="inlineStr">
        <is>
          <t>validated</t>
        </is>
      </c>
      <c r="E12" t="b">
        <v>1</v>
      </c>
      <c r="F12">
        <f>IMAGE("https://chmeetings.blob.core.windows.net/846969/attachments/Pnw3aHD5hEqlDsZTqeNkA/461b41a2-6769-490c-a301-c265e90ad64e.jpg")</f>
        <v/>
      </c>
      <c r="G12" t="inlineStr">
        <is>
          <t>Viet</t>
        </is>
      </c>
      <c r="H12" t="inlineStr">
        <is>
          <t>Duong</t>
        </is>
      </c>
      <c r="I12" t="inlineStr">
        <is>
          <t>Male</t>
        </is>
      </c>
      <c r="J12" t="n">
        <v>25</v>
      </c>
      <c r="K12" t="inlineStr">
        <is>
          <t>(619) 227-8495</t>
        </is>
      </c>
      <c r="L12" t="inlineStr">
        <is>
          <t>vietduong152205@gmail.com</t>
        </is>
      </c>
      <c r="M12" t="inlineStr">
        <is>
          <t>Tennis</t>
        </is>
      </c>
      <c r="N12" t="inlineStr">
        <is>
          <t>Mixed</t>
        </is>
      </c>
      <c r="O12" t="inlineStr">
        <is>
          <t>Doubles</t>
        </is>
      </c>
      <c r="P12" t="inlineStr"/>
      <c r="Q12" t="inlineStr">
        <is>
          <t>Ly Nguyen</t>
        </is>
      </c>
    </row>
    <row r="13">
      <c r="A13" t="inlineStr">
        <is>
          <t>SDC</t>
        </is>
      </c>
      <c r="B13" t="inlineStr">
        <is>
          <t>4361942</t>
        </is>
      </c>
      <c r="C13" t="inlineStr">
        <is>
          <t>22</t>
        </is>
      </c>
      <c r="D13" t="inlineStr">
        <is>
          <t>validated</t>
        </is>
      </c>
      <c r="E13" t="b">
        <v>1</v>
      </c>
      <c r="F13">
        <f>IMAGE("https://chmeetings.blob.core.windows.net/846969/attachments/oBxVmMKo9U2QdhPSUPgpfg/1595e1f5-6f42-49d1-a76e-b49ba082ce9e.jpg")</f>
        <v/>
      </c>
      <c r="G13" t="inlineStr">
        <is>
          <t>Ly</t>
        </is>
      </c>
      <c r="H13" t="inlineStr">
        <is>
          <t>Nguyen</t>
        </is>
      </c>
      <c r="I13" t="inlineStr">
        <is>
          <t>Female</t>
        </is>
      </c>
      <c r="J13" t="n">
        <v>22</v>
      </c>
      <c r="K13" t="inlineStr">
        <is>
          <t>(619) 724-8444</t>
        </is>
      </c>
      <c r="L13" t="inlineStr">
        <is>
          <t>Nguyenly0818@yahoo.com</t>
        </is>
      </c>
      <c r="M13" t="inlineStr">
        <is>
          <t>Tennis</t>
        </is>
      </c>
      <c r="N13" t="inlineStr">
        <is>
          <t>Mixed</t>
        </is>
      </c>
      <c r="O13" t="inlineStr">
        <is>
          <t>Doubles</t>
        </is>
      </c>
      <c r="P13" t="inlineStr"/>
      <c r="Q13" t="inlineStr">
        <is>
          <t>Viet Duong</t>
        </is>
      </c>
    </row>
    <row r="14">
      <c r="A14" t="inlineStr">
        <is>
          <t>SDC</t>
        </is>
      </c>
      <c r="B14" t="inlineStr">
        <is>
          <t>3635885</t>
        </is>
      </c>
      <c r="C14" t="inlineStr">
        <is>
          <t>84</t>
        </is>
      </c>
      <c r="D14" t="inlineStr">
        <is>
          <t>validated</t>
        </is>
      </c>
      <c r="E14" t="b">
        <v>1</v>
      </c>
      <c r="F14">
        <f>IMAGE("https://chmeetings.blob.core.windows.net/846969/attachments/r1jarmgNdU2vRI9LrvQIug/afb53597-c751-4247-a104-a4129b1f39e6.jpg")</f>
        <v/>
      </c>
      <c r="G14" t="inlineStr">
        <is>
          <t>Nathan</t>
        </is>
      </c>
      <c r="H14" t="inlineStr">
        <is>
          <t>Nguyen</t>
        </is>
      </c>
      <c r="I14" t="inlineStr">
        <is>
          <t>Male</t>
        </is>
      </c>
      <c r="J14" t="n">
        <v>18</v>
      </c>
      <c r="K14" t="inlineStr">
        <is>
          <t>(619) 218-6042</t>
        </is>
      </c>
      <c r="L14" t="inlineStr">
        <is>
          <t>nathan.cv.nguyen@gmail.com</t>
        </is>
      </c>
      <c r="M14" t="inlineStr">
        <is>
          <t>Track &amp; Field</t>
        </is>
      </c>
      <c r="N14" t="inlineStr">
        <is>
          <t>Mixed</t>
        </is>
      </c>
      <c r="O14" t="inlineStr">
        <is>
          <t>Team</t>
        </is>
      </c>
      <c r="P14" t="inlineStr"/>
      <c r="Q14" t="inlineStr"/>
    </row>
    <row r="15">
      <c r="A15" t="inlineStr">
        <is>
          <t>SDC</t>
        </is>
      </c>
      <c r="B15" t="inlineStr">
        <is>
          <t>4361930</t>
        </is>
      </c>
      <c r="C15" t="inlineStr">
        <is>
          <t>24</t>
        </is>
      </c>
      <c r="D15" t="inlineStr">
        <is>
          <t>validated</t>
        </is>
      </c>
      <c r="E15" t="b">
        <v>1</v>
      </c>
      <c r="F15">
        <f>IMAGE("https://chmeetings.blob.core.windows.net/846969/attachments/TkKY4kXMsECC0RXzudZ5tA/b84f2b40-fd84-416f-b1fe-87a8d863a84b.jpg")</f>
        <v/>
      </c>
      <c r="G15" t="inlineStr">
        <is>
          <t>Quang</t>
        </is>
      </c>
      <c r="H15" t="inlineStr">
        <is>
          <t>Duong</t>
        </is>
      </c>
      <c r="I15" t="inlineStr">
        <is>
          <t>Male</t>
        </is>
      </c>
      <c r="J15" t="n">
        <v>24</v>
      </c>
      <c r="K15" t="inlineStr">
        <is>
          <t>(619) 638-9596</t>
        </is>
      </c>
      <c r="L15" t="inlineStr">
        <is>
          <t>Qduong2605@gmail.com</t>
        </is>
      </c>
      <c r="M15" t="inlineStr">
        <is>
          <t>Volleyball</t>
        </is>
      </c>
      <c r="N15" t="inlineStr">
        <is>
          <t>Men</t>
        </is>
      </c>
      <c r="O15" t="inlineStr">
        <is>
          <t>Team</t>
        </is>
      </c>
      <c r="P15" t="inlineStr"/>
      <c r="Q15" t="inlineStr"/>
    </row>
    <row r="16">
      <c r="A16" t="inlineStr">
        <is>
          <t>SDC</t>
        </is>
      </c>
      <c r="B16" t="inlineStr">
        <is>
          <t>3635297</t>
        </is>
      </c>
      <c r="C16" t="inlineStr">
        <is>
          <t>80</t>
        </is>
      </c>
      <c r="D16" t="inlineStr">
        <is>
          <t>validated</t>
        </is>
      </c>
      <c r="E16" t="b">
        <v>1</v>
      </c>
      <c r="F16">
        <f>IMAGE("https://chmeetings.blob.core.windows.net/846969/attachments/1JIaBiZw5UyOOxG8LNs6jw/c5690af5-0305-4818-b5f0-4e91868e4dd4.jpg")</f>
        <v/>
      </c>
      <c r="G16" t="inlineStr">
        <is>
          <t>Austin</t>
        </is>
      </c>
      <c r="H16" t="inlineStr">
        <is>
          <t>Huynh</t>
        </is>
      </c>
      <c r="I16" t="inlineStr">
        <is>
          <t>Male</t>
        </is>
      </c>
      <c r="J16" t="n">
        <v>20</v>
      </c>
      <c r="K16" t="inlineStr">
        <is>
          <t>(858) 880-6520</t>
        </is>
      </c>
      <c r="L16" t="inlineStr">
        <is>
          <t>aahuynh2006@gmail.com</t>
        </is>
      </c>
      <c r="M16" t="inlineStr">
        <is>
          <t>Volleyball</t>
        </is>
      </c>
      <c r="N16" t="inlineStr">
        <is>
          <t>Men</t>
        </is>
      </c>
      <c r="O16" t="inlineStr">
        <is>
          <t>Team</t>
        </is>
      </c>
      <c r="P16" t="inlineStr"/>
      <c r="Q16" t="inlineStr"/>
    </row>
    <row r="17">
      <c r="A17" t="inlineStr">
        <is>
          <t>SDC</t>
        </is>
      </c>
      <c r="B17" t="inlineStr">
        <is>
          <t>4363696</t>
        </is>
      </c>
      <c r="C17" t="inlineStr">
        <is>
          <t>85</t>
        </is>
      </c>
      <c r="D17" t="inlineStr">
        <is>
          <t>pending</t>
        </is>
      </c>
      <c r="E17" t="b">
        <v>0</v>
      </c>
      <c r="F17">
        <f>IMAGE("https://chmeetings.blob.core.windows.net/846969/attachments/WkUK8P2AT02DuSP93vzyQ/de3c4b81-ac76-4773-9f41-3dbbfdb4c639.jpg")</f>
        <v/>
      </c>
      <c r="G17" t="inlineStr">
        <is>
          <t>Orion</t>
        </is>
      </c>
      <c r="H17" t="inlineStr">
        <is>
          <t>Le</t>
        </is>
      </c>
      <c r="I17" t="inlineStr">
        <is>
          <t>Male</t>
        </is>
      </c>
      <c r="J17" t="n">
        <v>15</v>
      </c>
      <c r="K17" t="inlineStr">
        <is>
          <t>(619) 636-9029</t>
        </is>
      </c>
      <c r="L17" t="inlineStr">
        <is>
          <t>orionkle@gmail.com</t>
        </is>
      </c>
      <c r="M17" t="inlineStr">
        <is>
          <t>Volleyball</t>
        </is>
      </c>
      <c r="N17" t="inlineStr">
        <is>
          <t>Men</t>
        </is>
      </c>
      <c r="O17" t="inlineStr">
        <is>
          <t>Team</t>
        </is>
      </c>
      <c r="P17" t="inlineStr"/>
      <c r="Q17" t="inlineStr"/>
    </row>
    <row r="18">
      <c r="A18" t="inlineStr">
        <is>
          <t>SDC</t>
        </is>
      </c>
      <c r="B18" t="inlineStr">
        <is>
          <t>3632190</t>
        </is>
      </c>
      <c r="C18" t="inlineStr">
        <is>
          <t>19</t>
        </is>
      </c>
      <c r="D18" t="inlineStr">
        <is>
          <t>validated</t>
        </is>
      </c>
      <c r="E18" t="b">
        <v>1</v>
      </c>
      <c r="F18">
        <f>IMAGE("https://chmeetings.blob.core.windows.net/846969/attachments/v0KbVU03nUuXUrWpKoeQBA/635703c8-a438-4dc9-8ba8-8dc18fd00312.jpg")</f>
        <v/>
      </c>
      <c r="G18" t="inlineStr">
        <is>
          <t>Andrew</t>
        </is>
      </c>
      <c r="H18" t="inlineStr">
        <is>
          <t>Mai</t>
        </is>
      </c>
      <c r="I18" t="inlineStr">
        <is>
          <t>Male</t>
        </is>
      </c>
      <c r="J18" t="n">
        <v>24</v>
      </c>
      <c r="K18" t="inlineStr">
        <is>
          <t>(858) 610-3688</t>
        </is>
      </c>
      <c r="L18" t="inlineStr">
        <is>
          <t>andrewmai78@gmail.com</t>
        </is>
      </c>
      <c r="M18" t="inlineStr">
        <is>
          <t>Volleyball</t>
        </is>
      </c>
      <c r="N18" t="inlineStr">
        <is>
          <t>Men</t>
        </is>
      </c>
      <c r="O18" t="inlineStr">
        <is>
          <t>Team</t>
        </is>
      </c>
      <c r="P18" t="inlineStr"/>
      <c r="Q18" t="inlineStr"/>
    </row>
    <row r="19">
      <c r="A19" t="inlineStr">
        <is>
          <t>SDC</t>
        </is>
      </c>
      <c r="B19" t="inlineStr">
        <is>
          <t>3631498</t>
        </is>
      </c>
      <c r="C19" t="inlineStr">
        <is>
          <t>23</t>
        </is>
      </c>
      <c r="D19" t="inlineStr">
        <is>
          <t>pending</t>
        </is>
      </c>
      <c r="E19" t="b">
        <v>1</v>
      </c>
      <c r="F19">
        <f>IMAGE("https://chmeetings.blob.core.windows.net/846969/attachments/JaOKRnWgzU2Ets1hKETkyg/1245d6dc-fe84-45e5-a936-90755a825089.jpg")</f>
        <v/>
      </c>
      <c r="G19" t="inlineStr">
        <is>
          <t>Peter</t>
        </is>
      </c>
      <c r="H19" t="inlineStr">
        <is>
          <t>Tu</t>
        </is>
      </c>
      <c r="I19" t="inlineStr">
        <is>
          <t>Male</t>
        </is>
      </c>
      <c r="J19" t="n">
        <v>16</v>
      </c>
      <c r="K19" t="inlineStr">
        <is>
          <t>(619) 850-3146</t>
        </is>
      </c>
      <c r="L19" t="inlineStr">
        <is>
          <t>22petertu@gmail.com</t>
        </is>
      </c>
      <c r="M19" t="inlineStr">
        <is>
          <t>Volleyball</t>
        </is>
      </c>
      <c r="N19" t="inlineStr">
        <is>
          <t>Men</t>
        </is>
      </c>
      <c r="O19" t="inlineStr">
        <is>
          <t>Team</t>
        </is>
      </c>
      <c r="P19" t="inlineStr"/>
      <c r="Q19" t="inlineStr"/>
    </row>
    <row r="20">
      <c r="A20" t="inlineStr">
        <is>
          <t>SDC</t>
        </is>
      </c>
      <c r="B20" t="inlineStr">
        <is>
          <t>3631509</t>
        </is>
      </c>
      <c r="C20" t="inlineStr">
        <is>
          <t>81</t>
        </is>
      </c>
      <c r="D20" t="inlineStr">
        <is>
          <t>validated</t>
        </is>
      </c>
      <c r="E20" t="b">
        <v>1</v>
      </c>
      <c r="F20">
        <f>IMAGE("https://chmeetings.blob.core.windows.net/846969/attachments/qHFzw2su0EaXZVKX3nFTw/64676df0-467f-47ec-9834-a4285178e62b.jpg")</f>
        <v/>
      </c>
      <c r="G20" t="inlineStr">
        <is>
          <t>Christine</t>
        </is>
      </c>
      <c r="H20" t="inlineStr">
        <is>
          <t>Ngo</t>
        </is>
      </c>
      <c r="I20" t="inlineStr">
        <is>
          <t>Female</t>
        </is>
      </c>
      <c r="J20" t="n">
        <v>25</v>
      </c>
      <c r="K20" t="inlineStr">
        <is>
          <t>(858) 531-0418</t>
        </is>
      </c>
      <c r="L20" t="inlineStr">
        <is>
          <t>ctngo23@gmail.com</t>
        </is>
      </c>
      <c r="M20" t="inlineStr">
        <is>
          <t>Volleyball</t>
        </is>
      </c>
      <c r="N20" t="inlineStr">
        <is>
          <t>Women</t>
        </is>
      </c>
      <c r="O20" t="inlineStr">
        <is>
          <t>Team</t>
        </is>
      </c>
      <c r="P20" t="inlineStr"/>
      <c r="Q20" t="inlineStr"/>
    </row>
    <row r="21">
      <c r="A21" t="inlineStr">
        <is>
          <t>SDC</t>
        </is>
      </c>
      <c r="B21" t="inlineStr">
        <is>
          <t>3634932</t>
        </is>
      </c>
      <c r="C21" t="inlineStr">
        <is>
          <t>20</t>
        </is>
      </c>
      <c r="D21" t="inlineStr">
        <is>
          <t>validated</t>
        </is>
      </c>
      <c r="E21" t="b">
        <v>1</v>
      </c>
      <c r="F21">
        <f>IMAGE("https://chmeetings.blob.core.windows.net/846969/attachments/WqLDZlxmt0iD9mbVC64Uw/f643734c-922a-40e4-8cd8-24b44d5a9b84.jpg")</f>
        <v/>
      </c>
      <c r="G21" t="inlineStr">
        <is>
          <t>Esther</t>
        </is>
      </c>
      <c r="H21" t="inlineStr">
        <is>
          <t>Ngo</t>
        </is>
      </c>
      <c r="I21" t="inlineStr">
        <is>
          <t>Female</t>
        </is>
      </c>
      <c r="J21" t="n">
        <v>23</v>
      </c>
      <c r="K21" t="inlineStr">
        <is>
          <t>(619) 301-7384</t>
        </is>
      </c>
      <c r="L21" t="inlineStr">
        <is>
          <t>esther.ngo1222@gmail.com</t>
        </is>
      </c>
      <c r="M21" t="inlineStr">
        <is>
          <t>Volleyball</t>
        </is>
      </c>
      <c r="N21" t="inlineStr">
        <is>
          <t>Women</t>
        </is>
      </c>
      <c r="O21" t="inlineStr">
        <is>
          <t>Team</t>
        </is>
      </c>
      <c r="P21" t="inlineStr"/>
      <c r="Q21" t="inlineStr"/>
    </row>
  </sheetData>
  <autoFilter ref="A1:Q2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" customWidth="1" min="7" max="7"/>
    <col width="5" customWidth="1" min="8" max="8"/>
    <col width="9" customWidth="1" min="9" max="9"/>
    <col width="9" customWidth="1" min="10" max="10"/>
    <col width="11" customWidth="1" min="11" max="11"/>
    <col width="6.5" customWidth="1" min="12" max="12"/>
    <col width="8" customWidth="1" min="13" max="13"/>
    <col width="5.5" customWidth="1" min="14" max="14"/>
    <col width="7" customWidth="1" min="15" max="15"/>
    <col width="8.5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SDC</t>
        </is>
      </c>
      <c r="B2" t="inlineStr">
        <is>
          <t>4361930</t>
        </is>
      </c>
      <c r="C2" t="inlineStr">
        <is>
          <t>24</t>
        </is>
      </c>
      <c r="D2" t="inlineStr">
        <is>
          <t>validated</t>
        </is>
      </c>
      <c r="E2" t="b">
        <v>1</v>
      </c>
      <c r="F2">
        <f>IMAGE("https://chmeetings.blob.core.windows.net/846969/attachments/TkKY4kXMsECC0RXzudZ5tA/b84f2b40-fd84-416f-b1fe-87a8d863a84b.jpg")</f>
        <v/>
      </c>
      <c r="G2" t="inlineStr">
        <is>
          <t>Duong Quang</t>
        </is>
      </c>
      <c r="H2" t="inlineStr">
        <is>
          <t>Male</t>
        </is>
      </c>
      <c r="I2" t="n">
        <v>24</v>
      </c>
      <c r="J2" t="inlineStr">
        <is>
          <t>(619) 638-9596</t>
        </is>
      </c>
      <c r="K2" t="inlineStr">
        <is>
          <t>Qduong2605@gmail.com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Tri Nguyen</t>
        </is>
      </c>
    </row>
    <row r="3">
      <c r="A3" t="inlineStr">
        <is>
          <t>SDC</t>
        </is>
      </c>
      <c r="B3" t="inlineStr">
        <is>
          <t>3476582</t>
        </is>
      </c>
      <c r="C3" t="inlineStr">
        <is>
          <t>25</t>
        </is>
      </c>
      <c r="D3" t="inlineStr">
        <is>
          <t>validated</t>
        </is>
      </c>
      <c r="E3" t="b">
        <v>1</v>
      </c>
      <c r="F3">
        <f>IMAGE("https://chmeetings.blob.core.windows.net/846969/attachments/Pnw3aHD5hEqlDsZTqeNkA/461b41a2-6769-490c-a301-c265e90ad64e.jpg")</f>
        <v/>
      </c>
      <c r="G3" t="inlineStr">
        <is>
          <t>Duong Viet</t>
        </is>
      </c>
      <c r="H3" t="inlineStr">
        <is>
          <t>Male</t>
        </is>
      </c>
      <c r="I3" t="n">
        <v>25</v>
      </c>
      <c r="J3" t="inlineStr">
        <is>
          <t>(619) 227-8495</t>
        </is>
      </c>
      <c r="K3" t="inlineStr">
        <is>
          <t>vietduong152205@gmail.com</t>
        </is>
      </c>
      <c r="L3" t="inlineStr">
        <is>
          <t>Badminton</t>
        </is>
      </c>
      <c r="M3" t="inlineStr">
        <is>
          <t>Men</t>
        </is>
      </c>
      <c r="N3" t="inlineStr">
        <is>
          <t>Doubles</t>
        </is>
      </c>
      <c r="O3" t="inlineStr"/>
      <c r="P3" t="inlineStr">
        <is>
          <t>Jacob Huynh</t>
        </is>
      </c>
    </row>
    <row r="4">
      <c r="A4" t="inlineStr">
        <is>
          <t>SDC</t>
        </is>
      </c>
      <c r="B4" t="inlineStr">
        <is>
          <t>3636572</t>
        </is>
      </c>
      <c r="C4" t="inlineStr">
        <is>
          <t>82</t>
        </is>
      </c>
      <c r="D4" t="inlineStr">
        <is>
          <t>validated</t>
        </is>
      </c>
      <c r="E4" t="b">
        <v>1</v>
      </c>
      <c r="F4">
        <f>IMAGE("https://chmeetings.blob.core.windows.net/846969/attachments/Kfbvgrxge0GMOiKuoSztng/704fbe0f-6065-4a44-95c1-1f57f4eba03d.jpg")</f>
        <v/>
      </c>
      <c r="G4" t="inlineStr">
        <is>
          <t>Huynh Jacob</t>
        </is>
      </c>
      <c r="H4" t="inlineStr">
        <is>
          <t>Male</t>
        </is>
      </c>
      <c r="I4" t="n">
        <v>23</v>
      </c>
      <c r="J4" t="inlineStr">
        <is>
          <t>(858) 375-6646</t>
        </is>
      </c>
      <c r="K4" t="inlineStr">
        <is>
          <t>JACOBHUYNH09@GMAIL.COM</t>
        </is>
      </c>
      <c r="L4" t="inlineStr">
        <is>
          <t>Badminton</t>
        </is>
      </c>
      <c r="M4" t="inlineStr">
        <is>
          <t>Men</t>
        </is>
      </c>
      <c r="N4" t="inlineStr">
        <is>
          <t>Doubles</t>
        </is>
      </c>
      <c r="O4" t="inlineStr"/>
      <c r="P4" t="inlineStr">
        <is>
          <t>Viet Duong</t>
        </is>
      </c>
    </row>
    <row r="5">
      <c r="A5" t="inlineStr">
        <is>
          <t>SDC</t>
        </is>
      </c>
      <c r="B5" t="inlineStr">
        <is>
          <t>3634932</t>
        </is>
      </c>
      <c r="C5" t="inlineStr">
        <is>
          <t>20</t>
        </is>
      </c>
      <c r="D5" t="inlineStr">
        <is>
          <t>validated</t>
        </is>
      </c>
      <c r="E5" t="b">
        <v>1</v>
      </c>
      <c r="F5">
        <f>IMAGE("https://chmeetings.blob.core.windows.net/846969/attachments/WqLDZlxmt0iD9mbVC64Uw/f643734c-922a-40e4-8cd8-24b44d5a9b84.jpg")</f>
        <v/>
      </c>
      <c r="G5" t="inlineStr">
        <is>
          <t>Ngo Esther</t>
        </is>
      </c>
      <c r="H5" t="inlineStr">
        <is>
          <t>Female</t>
        </is>
      </c>
      <c r="I5" t="n">
        <v>23</v>
      </c>
      <c r="J5" t="inlineStr">
        <is>
          <t>(619) 301-7384</t>
        </is>
      </c>
      <c r="K5" t="inlineStr">
        <is>
          <t>esther.ngo1222@gmail.com</t>
        </is>
      </c>
      <c r="L5" t="inlineStr">
        <is>
          <t>Badminton</t>
        </is>
      </c>
      <c r="M5" t="inlineStr">
        <is>
          <t>Mixed</t>
        </is>
      </c>
      <c r="N5" t="inlineStr">
        <is>
          <t>Doubles</t>
        </is>
      </c>
      <c r="O5" t="inlineStr"/>
      <c r="P5" t="inlineStr">
        <is>
          <t>Joseph Ngo</t>
        </is>
      </c>
    </row>
    <row r="6">
      <c r="A6" t="inlineStr">
        <is>
          <t>SDC</t>
        </is>
      </c>
      <c r="B6" t="inlineStr">
        <is>
          <t>3631509</t>
        </is>
      </c>
      <c r="C6" t="inlineStr">
        <is>
          <t>81</t>
        </is>
      </c>
      <c r="D6" t="inlineStr">
        <is>
          <t>validated</t>
        </is>
      </c>
      <c r="E6" t="b">
        <v>1</v>
      </c>
      <c r="F6">
        <f>IMAGE("https://chmeetings.blob.core.windows.net/846969/attachments/qHFzw2su0EaXZVKX3nFTw/64676df0-467f-47ec-9834-a4285178e62b.jpg")</f>
        <v/>
      </c>
      <c r="G6" t="inlineStr">
        <is>
          <t>Ngo Christine</t>
        </is>
      </c>
      <c r="H6" t="inlineStr">
        <is>
          <t>Female</t>
        </is>
      </c>
      <c r="I6" t="n">
        <v>25</v>
      </c>
      <c r="J6" t="inlineStr">
        <is>
          <t>(858) 531-0418</t>
        </is>
      </c>
      <c r="K6" t="inlineStr">
        <is>
          <t>ctngo23@gmail.com</t>
        </is>
      </c>
      <c r="L6" t="inlineStr">
        <is>
          <t>Badminton</t>
        </is>
      </c>
      <c r="M6" t="inlineStr">
        <is>
          <t>Women</t>
        </is>
      </c>
      <c r="N6" t="inlineStr">
        <is>
          <t>Doubles</t>
        </is>
      </c>
      <c r="O6" t="inlineStr"/>
      <c r="P6" t="inlineStr">
        <is>
          <t>Katie Tu</t>
        </is>
      </c>
    </row>
    <row r="7">
      <c r="A7" t="inlineStr">
        <is>
          <t>SDC</t>
        </is>
      </c>
      <c r="B7" t="inlineStr">
        <is>
          <t>3554516</t>
        </is>
      </c>
      <c r="C7" t="inlineStr">
        <is>
          <t>83</t>
        </is>
      </c>
      <c r="D7" t="inlineStr">
        <is>
          <t>validated</t>
        </is>
      </c>
      <c r="E7" t="b">
        <v>1</v>
      </c>
      <c r="F7">
        <f>IMAGE("https://chmeetings.blob.core.windows.net/846969/attachments/bqJr0cNbxkGuCD7FEwTwSg/5d344889-f820-4fd5-b45c-f7d157a0386e.jpg")</f>
        <v/>
      </c>
      <c r="G7" t="inlineStr">
        <is>
          <t>Tu Katie</t>
        </is>
      </c>
      <c r="H7" t="inlineStr">
        <is>
          <t>Female</t>
        </is>
      </c>
      <c r="I7" t="n">
        <v>23</v>
      </c>
      <c r="J7" t="inlineStr">
        <is>
          <t>(619) 514-9303</t>
        </is>
      </c>
      <c r="K7" t="inlineStr">
        <is>
          <t>katietuu@gmail.com</t>
        </is>
      </c>
      <c r="L7" t="inlineStr">
        <is>
          <t>Badminton</t>
        </is>
      </c>
      <c r="M7" t="inlineStr">
        <is>
          <t>Women</t>
        </is>
      </c>
      <c r="N7" t="inlineStr">
        <is>
          <t>Doubles</t>
        </is>
      </c>
      <c r="O7" t="inlineStr"/>
      <c r="P7" t="inlineStr">
        <is>
          <t>Christine Ngo</t>
        </is>
      </c>
    </row>
  </sheetData>
  <autoFilter ref="A1:P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" customWidth="1" min="7" max="7"/>
    <col width="5" customWidth="1" min="8" max="8"/>
    <col width="9" customWidth="1" min="9" max="9"/>
    <col width="9" customWidth="1" min="10" max="10"/>
    <col width="11" customWidth="1" min="11" max="11"/>
    <col width="7" customWidth="1" min="12" max="12"/>
    <col width="8" customWidth="1" min="13" max="13"/>
    <col width="5.5" customWidth="1" min="14" max="14"/>
    <col width="7" customWidth="1" min="15" max="15"/>
    <col width="6.5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SDC</t>
        </is>
      </c>
      <c r="B2" t="inlineStr">
        <is>
          <t>4361942</t>
        </is>
      </c>
      <c r="C2" t="inlineStr">
        <is>
          <t>22</t>
        </is>
      </c>
      <c r="D2" t="inlineStr">
        <is>
          <t>validated</t>
        </is>
      </c>
      <c r="E2" t="b">
        <v>1</v>
      </c>
      <c r="F2">
        <f>IMAGE("https://chmeetings.blob.core.windows.net/846969/attachments/oBxVmMKo9U2QdhPSUPgpfg/1595e1f5-6f42-49d1-a76e-b49ba082ce9e.jpg")</f>
        <v/>
      </c>
      <c r="G2" t="inlineStr">
        <is>
          <t>Nguyen Ly</t>
        </is>
      </c>
      <c r="H2" t="inlineStr">
        <is>
          <t>Female</t>
        </is>
      </c>
      <c r="I2" t="n">
        <v>22</v>
      </c>
      <c r="J2" t="inlineStr">
        <is>
          <t>(619) 724-8444</t>
        </is>
      </c>
      <c r="K2" t="inlineStr">
        <is>
          <t>Nguyenly0818@yahoo.com</t>
        </is>
      </c>
      <c r="L2" t="inlineStr">
        <is>
          <t>Pickleball</t>
        </is>
      </c>
      <c r="M2" t="inlineStr">
        <is>
          <t>Women</t>
        </is>
      </c>
      <c r="N2" t="inlineStr">
        <is>
          <t>Doubles</t>
        </is>
      </c>
      <c r="O2" t="inlineStr"/>
      <c r="P2" t="inlineStr">
        <is>
          <t>Katie Tu</t>
        </is>
      </c>
    </row>
    <row r="3">
      <c r="A3" t="inlineStr">
        <is>
          <t>SDC</t>
        </is>
      </c>
      <c r="B3" t="inlineStr">
        <is>
          <t>3554516</t>
        </is>
      </c>
      <c r="C3" t="inlineStr">
        <is>
          <t>83</t>
        </is>
      </c>
      <c r="D3" t="inlineStr">
        <is>
          <t>validated</t>
        </is>
      </c>
      <c r="E3" t="b">
        <v>1</v>
      </c>
      <c r="F3">
        <f>IMAGE("https://chmeetings.blob.core.windows.net/846969/attachments/bqJr0cNbxkGuCD7FEwTwSg/5d344889-f820-4fd5-b45c-f7d157a0386e.jpg")</f>
        <v/>
      </c>
      <c r="G3" t="inlineStr">
        <is>
          <t>Tu Katie</t>
        </is>
      </c>
      <c r="H3" t="inlineStr">
        <is>
          <t>Female</t>
        </is>
      </c>
      <c r="I3" t="n">
        <v>23</v>
      </c>
      <c r="J3" t="inlineStr">
        <is>
          <t>(619) 514-9303</t>
        </is>
      </c>
      <c r="K3" t="inlineStr">
        <is>
          <t>katietuu@gmail.com</t>
        </is>
      </c>
      <c r="L3" t="inlineStr">
        <is>
          <t>Pickleball</t>
        </is>
      </c>
      <c r="M3" t="inlineStr">
        <is>
          <t>Women</t>
        </is>
      </c>
      <c r="N3" t="inlineStr">
        <is>
          <t>Doubles</t>
        </is>
      </c>
      <c r="O3" t="inlineStr"/>
      <c r="P3" t="inlineStr">
        <is>
          <t>Ly Nguyen</t>
        </is>
      </c>
    </row>
  </sheetData>
  <autoFilter ref="A1:P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11.5" customWidth="1" min="7" max="7"/>
    <col width="4" customWidth="1" min="8" max="8"/>
    <col width="9" customWidth="1" min="9" max="9"/>
    <col width="9" customWidth="1" min="10" max="10"/>
    <col width="15" customWidth="1" min="11" max="11"/>
    <col width="8" customWidth="1" min="12" max="12"/>
    <col width="8" customWidth="1" min="13" max="13"/>
    <col width="5.5" customWidth="1" min="14" max="14"/>
    <col width="7" customWidth="1" min="15" max="15"/>
    <col width="8.5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SDC</t>
        </is>
      </c>
      <c r="B2" t="inlineStr">
        <is>
          <t>3634404</t>
        </is>
      </c>
      <c r="C2" t="inlineStr">
        <is>
          <t>21</t>
        </is>
      </c>
      <c r="D2" t="inlineStr">
        <is>
          <t>validated</t>
        </is>
      </c>
      <c r="E2" t="b">
        <v>1</v>
      </c>
      <c r="F2">
        <f>IMAGE("https://chmeetings.blob.core.windows.net/846969/attachments/Ws07x9gR0wAZUSi1q5NQ/dfab0bcf-a4de-43d1-9a71-2a3478c9db6c.jpg")</f>
        <v/>
      </c>
      <c r="G2" t="inlineStr">
        <is>
          <t>Cruz Matias Kenneth</t>
        </is>
      </c>
      <c r="H2" t="inlineStr">
        <is>
          <t>Male</t>
        </is>
      </c>
      <c r="I2" t="n">
        <v>23</v>
      </c>
      <c r="J2" t="inlineStr">
        <is>
          <t>(442) 237-8092</t>
        </is>
      </c>
      <c r="K2" t="inlineStr">
        <is>
          <t>cruzmatiaskenny8@gmail.com</t>
        </is>
      </c>
      <c r="L2" t="inlineStr">
        <is>
          <t>Table Tennis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John Huang Le</t>
        </is>
      </c>
    </row>
    <row r="3">
      <c r="A3" t="inlineStr">
        <is>
          <t>SDC</t>
        </is>
      </c>
      <c r="B3" t="inlineStr">
        <is>
          <t>3634404</t>
        </is>
      </c>
      <c r="C3" t="inlineStr">
        <is>
          <t>21</t>
        </is>
      </c>
      <c r="D3" t="inlineStr">
        <is>
          <t>validated</t>
        </is>
      </c>
      <c r="E3" t="b">
        <v>1</v>
      </c>
      <c r="F3">
        <f>IMAGE("https://chmeetings.blob.core.windows.net/846969/attachments/Ws07x9gR0wAZUSi1q5NQ/dfab0bcf-a4de-43d1-9a71-2a3478c9db6c.jpg")</f>
        <v/>
      </c>
      <c r="G3" t="inlineStr">
        <is>
          <t>Cruz Matias Kenneth</t>
        </is>
      </c>
      <c r="H3" t="inlineStr">
        <is>
          <t>Male</t>
        </is>
      </c>
      <c r="I3" t="n">
        <v>23</v>
      </c>
      <c r="J3" t="inlineStr">
        <is>
          <t>(442) 237-8092</t>
        </is>
      </c>
      <c r="K3" t="inlineStr">
        <is>
          <t>cruzmatiaskenny8@gmail.com</t>
        </is>
      </c>
      <c r="L3" t="inlineStr">
        <is>
          <t>Table Tennis</t>
        </is>
      </c>
      <c r="M3" t="inlineStr">
        <is>
          <t>Men</t>
        </is>
      </c>
      <c r="N3" t="inlineStr">
        <is>
          <t>Singles</t>
        </is>
      </c>
      <c r="O3" t="inlineStr"/>
      <c r="P3" t="inlineStr"/>
    </row>
  </sheetData>
  <autoFilter ref="A1:P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.5" customWidth="1" min="7" max="7"/>
    <col width="5" customWidth="1" min="8" max="8"/>
    <col width="9" customWidth="1" min="9" max="9"/>
    <col width="9" customWidth="1" min="10" max="10"/>
    <col width="13" customWidth="1" min="11" max="11"/>
    <col width="5" customWidth="1" min="12" max="12"/>
    <col width="8" customWidth="1" min="13" max="13"/>
    <col width="5.5" customWidth="1" min="14" max="14"/>
    <col width="7" customWidth="1" min="15" max="15"/>
    <col width="7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SDC</t>
        </is>
      </c>
      <c r="B2" t="inlineStr">
        <is>
          <t>3476582</t>
        </is>
      </c>
      <c r="C2" t="inlineStr">
        <is>
          <t>25</t>
        </is>
      </c>
      <c r="D2" t="inlineStr">
        <is>
          <t>validated</t>
        </is>
      </c>
      <c r="E2" t="b">
        <v>1</v>
      </c>
      <c r="F2">
        <f>IMAGE("https://chmeetings.blob.core.windows.net/846969/attachments/Pnw3aHD5hEqlDsZTqeNkA/461b41a2-6769-490c-a301-c265e90ad64e.jpg")</f>
        <v/>
      </c>
      <c r="G2" t="inlineStr">
        <is>
          <t>Duong Viet</t>
        </is>
      </c>
      <c r="H2" t="inlineStr">
        <is>
          <t>Male</t>
        </is>
      </c>
      <c r="I2" t="n">
        <v>25</v>
      </c>
      <c r="J2" t="inlineStr">
        <is>
          <t>(619) 227-8495</t>
        </is>
      </c>
      <c r="K2" t="inlineStr">
        <is>
          <t>vietduong152205@gmail.com</t>
        </is>
      </c>
      <c r="L2" t="inlineStr">
        <is>
          <t>Tennis</t>
        </is>
      </c>
      <c r="M2" t="inlineStr">
        <is>
          <t>Mixed</t>
        </is>
      </c>
      <c r="N2" t="inlineStr">
        <is>
          <t>Doubles</t>
        </is>
      </c>
      <c r="O2" t="inlineStr"/>
      <c r="P2" t="inlineStr">
        <is>
          <t>Ly Nguyen</t>
        </is>
      </c>
    </row>
    <row r="3">
      <c r="A3" t="inlineStr">
        <is>
          <t>SDC</t>
        </is>
      </c>
      <c r="B3" t="inlineStr">
        <is>
          <t>4361942</t>
        </is>
      </c>
      <c r="C3" t="inlineStr">
        <is>
          <t>22</t>
        </is>
      </c>
      <c r="D3" t="inlineStr">
        <is>
          <t>validated</t>
        </is>
      </c>
      <c r="E3" t="b">
        <v>1</v>
      </c>
      <c r="F3">
        <f>IMAGE("https://chmeetings.blob.core.windows.net/846969/attachments/oBxVmMKo9U2QdhPSUPgpfg/1595e1f5-6f42-49d1-a76e-b49ba082ce9e.jpg")</f>
        <v/>
      </c>
      <c r="G3" t="inlineStr">
        <is>
          <t>Nguyen Ly</t>
        </is>
      </c>
      <c r="H3" t="inlineStr">
        <is>
          <t>Female</t>
        </is>
      </c>
      <c r="I3" t="n">
        <v>22</v>
      </c>
      <c r="J3" t="inlineStr">
        <is>
          <t>(619) 724-8444</t>
        </is>
      </c>
      <c r="K3" t="inlineStr">
        <is>
          <t>Nguyenly0818@yahoo.com</t>
        </is>
      </c>
      <c r="L3" t="inlineStr">
        <is>
          <t>Tennis</t>
        </is>
      </c>
      <c r="M3" t="inlineStr">
        <is>
          <t>Mixed</t>
        </is>
      </c>
      <c r="N3" t="inlineStr">
        <is>
          <t>Doubles</t>
        </is>
      </c>
      <c r="O3" t="inlineStr"/>
      <c r="P3" t="inlineStr">
        <is>
          <t>Viet Duong</t>
        </is>
      </c>
    </row>
  </sheetData>
  <autoFilter ref="A1:P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8.5" customWidth="1" min="7" max="7"/>
    <col width="4" customWidth="1" min="8" max="8"/>
    <col width="9" customWidth="1" min="9" max="9"/>
    <col width="9" customWidth="1" min="10" max="10"/>
    <col width="15" customWidth="1" min="11" max="11"/>
    <col width="8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SDC</t>
        </is>
      </c>
      <c r="B2" t="inlineStr">
        <is>
          <t>3635885</t>
        </is>
      </c>
      <c r="C2" t="inlineStr">
        <is>
          <t>84</t>
        </is>
      </c>
      <c r="D2" t="inlineStr">
        <is>
          <t>validated</t>
        </is>
      </c>
      <c r="E2" t="b">
        <v>1</v>
      </c>
      <c r="F2">
        <f>IMAGE("https://chmeetings.blob.core.windows.net/846969/attachments/r1jarmgNdU2vRI9LrvQIug/afb53597-c751-4247-a104-a4129b1f39e6.jpg")</f>
        <v/>
      </c>
      <c r="G2" t="inlineStr">
        <is>
          <t>Nguyen Nathan</t>
        </is>
      </c>
      <c r="H2" t="inlineStr">
        <is>
          <t>Male</t>
        </is>
      </c>
      <c r="I2" t="n">
        <v>18</v>
      </c>
      <c r="J2" t="inlineStr">
        <is>
          <t>(619) 218-6042</t>
        </is>
      </c>
      <c r="K2" t="inlineStr">
        <is>
          <t>nathan.cv.nguyen@gmail.com</t>
        </is>
      </c>
      <c r="L2" t="inlineStr">
        <is>
          <t>Track &amp; Field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" customWidth="1" min="7" max="7"/>
    <col width="4" customWidth="1" min="8" max="8"/>
    <col width="9" customWidth="1" min="9" max="9"/>
    <col width="9" customWidth="1" min="10" max="10"/>
    <col width="11.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SDC</t>
        </is>
      </c>
      <c r="B2" t="inlineStr">
        <is>
          <t>4361930</t>
        </is>
      </c>
      <c r="C2" t="inlineStr">
        <is>
          <t>24</t>
        </is>
      </c>
      <c r="D2" t="inlineStr">
        <is>
          <t>validated</t>
        </is>
      </c>
      <c r="E2" t="b">
        <v>1</v>
      </c>
      <c r="F2">
        <f>IMAGE("https://chmeetings.blob.core.windows.net/846969/attachments/TkKY4kXMsECC0RXzudZ5tA/b84f2b40-fd84-416f-b1fe-87a8d863a84b.jpg")</f>
        <v/>
      </c>
      <c r="G2" t="inlineStr">
        <is>
          <t>Duong Quang</t>
        </is>
      </c>
      <c r="H2" t="inlineStr">
        <is>
          <t>Male</t>
        </is>
      </c>
      <c r="I2" t="n">
        <v>24</v>
      </c>
      <c r="J2" t="inlineStr">
        <is>
          <t>(619) 638-9596</t>
        </is>
      </c>
      <c r="K2" t="inlineStr">
        <is>
          <t>Qduong2605@gmail.com</t>
        </is>
      </c>
      <c r="L2" t="inlineStr">
        <is>
          <t>Volleyball</t>
        </is>
      </c>
      <c r="M2" t="inlineStr">
        <is>
          <t>Men</t>
        </is>
      </c>
      <c r="N2" t="inlineStr">
        <is>
          <t>Team</t>
        </is>
      </c>
      <c r="O2" t="inlineStr"/>
      <c r="P2" t="inlineStr"/>
    </row>
    <row r="3">
      <c r="A3" t="inlineStr">
        <is>
          <t>SDC</t>
        </is>
      </c>
      <c r="B3" t="inlineStr">
        <is>
          <t>3635297</t>
        </is>
      </c>
      <c r="C3" t="inlineStr">
        <is>
          <t>80</t>
        </is>
      </c>
      <c r="D3" t="inlineStr">
        <is>
          <t>validated</t>
        </is>
      </c>
      <c r="E3" t="b">
        <v>1</v>
      </c>
      <c r="F3">
        <f>IMAGE("https://chmeetings.blob.core.windows.net/846969/attachments/1JIaBiZw5UyOOxG8LNs6jw/c5690af5-0305-4818-b5f0-4e91868e4dd4.jpg")</f>
        <v/>
      </c>
      <c r="G3" t="inlineStr">
        <is>
          <t>Huynh Austin</t>
        </is>
      </c>
      <c r="H3" t="inlineStr">
        <is>
          <t>Male</t>
        </is>
      </c>
      <c r="I3" t="n">
        <v>20</v>
      </c>
      <c r="J3" t="inlineStr">
        <is>
          <t>(858) 880-6520</t>
        </is>
      </c>
      <c r="K3" t="inlineStr">
        <is>
          <t>aahuynh2006@gmail.com</t>
        </is>
      </c>
      <c r="L3" t="inlineStr">
        <is>
          <t>Volleyball</t>
        </is>
      </c>
      <c r="M3" t="inlineStr">
        <is>
          <t>Men</t>
        </is>
      </c>
      <c r="N3" t="inlineStr">
        <is>
          <t>Team</t>
        </is>
      </c>
      <c r="O3" t="inlineStr"/>
      <c r="P3" t="inlineStr"/>
    </row>
    <row r="4">
      <c r="A4" t="inlineStr">
        <is>
          <t>SDC</t>
        </is>
      </c>
      <c r="B4" t="inlineStr">
        <is>
          <t>4363696</t>
        </is>
      </c>
      <c r="C4" t="inlineStr">
        <is>
          <t>85</t>
        </is>
      </c>
      <c r="D4" t="inlineStr">
        <is>
          <t>pending</t>
        </is>
      </c>
      <c r="E4" t="b">
        <v>0</v>
      </c>
      <c r="F4">
        <f>IMAGE("https://chmeetings.blob.core.windows.net/846969/attachments/WkUK8P2AT02DuSP93vzyQ/de3c4b81-ac76-4773-9f41-3dbbfdb4c639.jpg")</f>
        <v/>
      </c>
      <c r="G4" t="inlineStr">
        <is>
          <t>Le Orion</t>
        </is>
      </c>
      <c r="H4" t="inlineStr">
        <is>
          <t>Male</t>
        </is>
      </c>
      <c r="I4" t="n">
        <v>15</v>
      </c>
      <c r="J4" t="inlineStr">
        <is>
          <t>(619) 636-9029</t>
        </is>
      </c>
      <c r="K4" t="inlineStr">
        <is>
          <t>orionkle@gmail.com</t>
        </is>
      </c>
      <c r="L4" t="inlineStr">
        <is>
          <t>Volleyball</t>
        </is>
      </c>
      <c r="M4" t="inlineStr">
        <is>
          <t>Men</t>
        </is>
      </c>
      <c r="N4" t="inlineStr">
        <is>
          <t>Team</t>
        </is>
      </c>
      <c r="O4" t="inlineStr"/>
      <c r="P4" t="inlineStr"/>
    </row>
    <row r="5">
      <c r="A5" t="inlineStr">
        <is>
          <t>SDC</t>
        </is>
      </c>
      <c r="B5" t="inlineStr">
        <is>
          <t>3632190</t>
        </is>
      </c>
      <c r="C5" t="inlineStr">
        <is>
          <t>19</t>
        </is>
      </c>
      <c r="D5" t="inlineStr">
        <is>
          <t>validated</t>
        </is>
      </c>
      <c r="E5" t="b">
        <v>1</v>
      </c>
      <c r="F5">
        <f>IMAGE("https://chmeetings.blob.core.windows.net/846969/attachments/v0KbVU03nUuXUrWpKoeQBA/635703c8-a438-4dc9-8ba8-8dc18fd00312.jpg")</f>
        <v/>
      </c>
      <c r="G5" t="inlineStr">
        <is>
          <t>Mai Andrew</t>
        </is>
      </c>
      <c r="H5" t="inlineStr">
        <is>
          <t>Male</t>
        </is>
      </c>
      <c r="I5" t="n">
        <v>24</v>
      </c>
      <c r="J5" t="inlineStr">
        <is>
          <t>(858) 610-3688</t>
        </is>
      </c>
      <c r="K5" t="inlineStr">
        <is>
          <t>andrewmai78@gmail.com</t>
        </is>
      </c>
      <c r="L5" t="inlineStr">
        <is>
          <t>Volleyball</t>
        </is>
      </c>
      <c r="M5" t="inlineStr">
        <is>
          <t>Men</t>
        </is>
      </c>
      <c r="N5" t="inlineStr">
        <is>
          <t>Team</t>
        </is>
      </c>
      <c r="O5" t="inlineStr"/>
      <c r="P5" t="inlineStr"/>
    </row>
    <row r="6">
      <c r="A6" t="inlineStr">
        <is>
          <t>SDC</t>
        </is>
      </c>
      <c r="B6" t="inlineStr">
        <is>
          <t>3631498</t>
        </is>
      </c>
      <c r="C6" t="inlineStr">
        <is>
          <t>23</t>
        </is>
      </c>
      <c r="D6" t="inlineStr">
        <is>
          <t>pending</t>
        </is>
      </c>
      <c r="E6" t="b">
        <v>1</v>
      </c>
      <c r="F6">
        <f>IMAGE("https://chmeetings.blob.core.windows.net/846969/attachments/JaOKRnWgzU2Ets1hKETkyg/1245d6dc-fe84-45e5-a936-90755a825089.jpg")</f>
        <v/>
      </c>
      <c r="G6" t="inlineStr">
        <is>
          <t>Tu Peter</t>
        </is>
      </c>
      <c r="H6" t="inlineStr">
        <is>
          <t>Male</t>
        </is>
      </c>
      <c r="I6" t="n">
        <v>16</v>
      </c>
      <c r="J6" t="inlineStr">
        <is>
          <t>(619) 850-3146</t>
        </is>
      </c>
      <c r="K6" t="inlineStr">
        <is>
          <t>22petertu@gmail.com</t>
        </is>
      </c>
      <c r="L6" t="inlineStr">
        <is>
          <t>Volleyball</t>
        </is>
      </c>
      <c r="M6" t="inlineStr">
        <is>
          <t>Men</t>
        </is>
      </c>
      <c r="N6" t="inlineStr">
        <is>
          <t>Team</t>
        </is>
      </c>
      <c r="O6" t="inlineStr"/>
      <c r="P6" t="inlineStr"/>
    </row>
  </sheetData>
  <autoFilter ref="A1:P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" customWidth="1" min="7" max="7"/>
    <col width="5" customWidth="1" min="8" max="8"/>
    <col width="9" customWidth="1" min="9" max="9"/>
    <col width="9" customWidth="1" min="10" max="10"/>
    <col width="14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SDC</t>
        </is>
      </c>
      <c r="B2" t="inlineStr">
        <is>
          <t>3631509</t>
        </is>
      </c>
      <c r="C2" t="inlineStr">
        <is>
          <t>81</t>
        </is>
      </c>
      <c r="D2" t="inlineStr">
        <is>
          <t>validated</t>
        </is>
      </c>
      <c r="E2" t="b">
        <v>1</v>
      </c>
      <c r="F2">
        <f>IMAGE("https://chmeetings.blob.core.windows.net/846969/attachments/qHFzw2su0EaXZVKX3nFTw/64676df0-467f-47ec-9834-a4285178e62b.jpg")</f>
        <v/>
      </c>
      <c r="G2" t="inlineStr">
        <is>
          <t>Ngo Christine</t>
        </is>
      </c>
      <c r="H2" t="inlineStr">
        <is>
          <t>Female</t>
        </is>
      </c>
      <c r="I2" t="n">
        <v>25</v>
      </c>
      <c r="J2" t="inlineStr">
        <is>
          <t>(858) 531-0418</t>
        </is>
      </c>
      <c r="K2" t="inlineStr">
        <is>
          <t>ctngo23@gmail.com</t>
        </is>
      </c>
      <c r="L2" t="inlineStr">
        <is>
          <t>Volleyball</t>
        </is>
      </c>
      <c r="M2" t="inlineStr">
        <is>
          <t>Women</t>
        </is>
      </c>
      <c r="N2" t="inlineStr">
        <is>
          <t>Team</t>
        </is>
      </c>
      <c r="O2" t="inlineStr"/>
      <c r="P2" t="inlineStr"/>
    </row>
    <row r="3">
      <c r="A3" t="inlineStr">
        <is>
          <t>SDC</t>
        </is>
      </c>
      <c r="B3" t="inlineStr">
        <is>
          <t>3634932</t>
        </is>
      </c>
      <c r="C3" t="inlineStr">
        <is>
          <t>20</t>
        </is>
      </c>
      <c r="D3" t="inlineStr">
        <is>
          <t>validated</t>
        </is>
      </c>
      <c r="E3" t="b">
        <v>1</v>
      </c>
      <c r="F3">
        <f>IMAGE("https://chmeetings.blob.core.windows.net/846969/attachments/WqLDZlxmt0iD9mbVC64Uw/f643734c-922a-40e4-8cd8-24b44d5a9b84.jpg")</f>
        <v/>
      </c>
      <c r="G3" t="inlineStr">
        <is>
          <t>Ngo Esther</t>
        </is>
      </c>
      <c r="H3" t="inlineStr">
        <is>
          <t>Female</t>
        </is>
      </c>
      <c r="I3" t="n">
        <v>23</v>
      </c>
      <c r="J3" t="inlineStr">
        <is>
          <t>(619) 301-7384</t>
        </is>
      </c>
      <c r="K3" t="inlineStr">
        <is>
          <t>esther.ngo1222@gmail.com</t>
        </is>
      </c>
      <c r="L3" t="inlineStr">
        <is>
          <t>Volleyball</t>
        </is>
      </c>
      <c r="M3" t="inlineStr">
        <is>
          <t>Women</t>
        </is>
      </c>
      <c r="N3" t="inlineStr">
        <is>
          <t>Team</t>
        </is>
      </c>
      <c r="O3" t="inlineStr"/>
      <c r="P3" t="inlineStr"/>
    </row>
  </sheetData>
  <autoFilter ref="A1: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2026-05-04T14:05:29Z</dcterms:created>
  <dcterms:modified xmlns:dcterms="http://purl.org/dc/terms/" xmlns:xsi="http://www.w3.org/2001/XMLSchema-instance" xsi:type="dcterms:W3CDTF">2026-05-04T14:05:29Z</dcterms:modified>
</cp:coreProperties>
</file>