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acts-Status" sheetId="2" state="visible" r:id="rId2"/>
    <sheet xmlns:r="http://schemas.openxmlformats.org/officeDocument/2006/relationships" name="Roster" sheetId="3" state="visible" r:id="rId3"/>
    <sheet xmlns:r="http://schemas.openxmlformats.org/officeDocument/2006/relationships" name="Basketball" sheetId="4" state="visible" r:id="rId4"/>
    <sheet xmlns:r="http://schemas.openxmlformats.org/officeDocument/2006/relationships" name="Bible Challenge" sheetId="5" state="visible" r:id="rId5"/>
    <sheet xmlns:r="http://schemas.openxmlformats.org/officeDocument/2006/relationships" name="Pickleball" sheetId="6" state="visible" r:id="rId6"/>
    <sheet xmlns:r="http://schemas.openxmlformats.org/officeDocument/2006/relationships" name="Soccer - Coed Exhibition" sheetId="7" state="visible" r:id="rId7"/>
    <sheet xmlns:r="http://schemas.openxmlformats.org/officeDocument/2006/relationships" name="Table Tennis" sheetId="8" state="visible" r:id="rId8"/>
    <sheet xmlns:r="http://schemas.openxmlformats.org/officeDocument/2006/relationships" name="Tennis" sheetId="9" state="visible" r:id="rId9"/>
    <sheet xmlns:r="http://schemas.openxmlformats.org/officeDocument/2006/relationships" name="Track  Field" sheetId="10" state="visible" r:id="rId10"/>
    <sheet xmlns:r="http://schemas.openxmlformats.org/officeDocument/2006/relationships" name="VB Men" sheetId="11" state="visible" r:id="rId11"/>
    <sheet xmlns:r="http://schemas.openxmlformats.org/officeDocument/2006/relationships" name="VB Women" sheetId="12" state="visible" r:id="rId12"/>
  </sheets>
  <definedNames>
    <definedName name="_xlnm._FilterDatabase" localSheetId="0" hidden="1">'Summary'!$A$1:$H$2</definedName>
    <definedName name="_xlnm._FilterDatabase" localSheetId="1" hidden="1">'Contacts-Status'!$A$1:$W$23</definedName>
    <definedName name="_xlnm._FilterDatabase" localSheetId="2" hidden="1">'Roster'!$A$1:$Q$35</definedName>
    <definedName name="_xlnm._FilterDatabase" localSheetId="3" hidden="1">'Basketball'!$A$1:$P$9</definedName>
    <definedName name="_xlnm._FilterDatabase" localSheetId="4" hidden="1">'Bible Challenge'!$A$1:$P$2</definedName>
    <definedName name="_xlnm._FilterDatabase" localSheetId="5" hidden="1">'Pickleball'!$A$1:$P$3</definedName>
    <definedName name="_xlnm._FilterDatabase" localSheetId="6" hidden="1">'Soccer - Coed Exhibition'!$A$1:$P$3</definedName>
    <definedName name="_xlnm._FilterDatabase" localSheetId="7" hidden="1">'Table Tennis'!$A$1:$P$3</definedName>
    <definedName name="_xlnm._FilterDatabase" localSheetId="8" hidden="1">'Tennis'!$A$1:$P$4</definedName>
    <definedName name="_xlnm._FilterDatabase" localSheetId="9" hidden="1">'Track  Field'!$A$1:$P$5</definedName>
    <definedName name="_xlnm._FilterDatabase" localSheetId="10" hidden="1">'VB Men'!$A$1:$P$7</definedName>
    <definedName name="_xlnm._FilterDatabase" localSheetId="11" hidden="1">'VB Women'!$A$1:$P$7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Bumble</author>
  </authors>
  <commentList>
    <comment ref="F1" authorId="0" shapeId="0">
      <text>
        <t>In Office365 edition 2023 and later, you can remove the @ from the formula to display the image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.5" customWidth="1" min="1" max="1"/>
    <col width="17" customWidth="1" min="2" max="2"/>
    <col width="15" customWidth="1" min="3" max="3"/>
    <col width="11.5" customWidth="1" min="4" max="4"/>
    <col width="15.5" customWidth="1" min="5" max="5"/>
    <col width="10.5" customWidth="1" min="6" max="6"/>
    <col width="21" customWidth="1" min="7" max="7"/>
    <col width="11.5" customWidth="1" min="8" max="8"/>
  </cols>
  <sheetData>
    <row r="1">
      <c r="A1" t="inlineStr">
        <is>
          <t>Church Code</t>
        </is>
      </c>
      <c r="B1" t="inlineStr">
        <is>
          <t>Total Members (ChM Team Group)</t>
        </is>
      </c>
      <c r="C1" t="inlineStr">
        <is>
          <t>Total Participants (in WP)</t>
        </is>
      </c>
      <c r="D1" t="inlineStr">
        <is>
          <t>Total Approved (WP)</t>
        </is>
      </c>
      <c r="E1" t="inlineStr">
        <is>
          <t>Total Pending Approval (WP)</t>
        </is>
      </c>
      <c r="F1" t="inlineStr">
        <is>
          <t>Total Denied (WP)</t>
        </is>
      </c>
      <c r="G1" t="inlineStr">
        <is>
          <t>Total Participants w/ Open ERRORs (WP)</t>
        </is>
      </c>
      <c r="H1" t="inlineStr">
        <is>
          <t>Latest ChM Record Update for Team</t>
        </is>
      </c>
    </row>
    <row r="2">
      <c r="A2" t="inlineStr">
        <is>
          <t>RPC</t>
        </is>
      </c>
      <c r="B2" t="n">
        <v>22</v>
      </c>
      <c r="C2" t="n">
        <v>20</v>
      </c>
      <c r="D2" t="n">
        <v>1</v>
      </c>
      <c r="E2" t="n">
        <v>19</v>
      </c>
      <c r="F2" t="n">
        <v>0</v>
      </c>
      <c r="G2" t="n">
        <v>10</v>
      </c>
      <c r="H2" t="inlineStr">
        <is>
          <t>2026-05-03 22:07:35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5" customWidth="1" min="3" max="3"/>
    <col width="4" customWidth="1" min="4" max="4"/>
    <col width="9" customWidth="1" min="5" max="5"/>
    <col width="8.5" customWidth="1" min="6" max="6"/>
    <col width="11.5" customWidth="1" min="7" max="7"/>
    <col width="6.5" customWidth="1" min="8" max="8"/>
    <col width="13" customWidth="1" min="9" max="9"/>
    <col width="5" customWidth="1" min="10" max="10"/>
    <col width="7" customWidth="1" min="11" max="11"/>
    <col width="9" customWidth="1" min="12" max="12"/>
    <col width="9" customWidth="1" min="13" max="13"/>
    <col width="15.5" customWidth="1" min="14" max="14"/>
    <col width="23.5" customWidth="1" min="15" max="15"/>
    <col width="21" customWidth="1" min="16" max="16"/>
    <col width="22.5" customWidth="1" min="17" max="17"/>
    <col width="26.5" customWidth="1" min="18" max="18"/>
    <col width="21.5" customWidth="1" min="19" max="19"/>
    <col width="4.5" customWidth="1" min="20" max="20"/>
    <col width="4.5" customWidth="1" min="21" max="21"/>
    <col width="50" customWidth="1" min="22" max="22"/>
    <col width="11.5" customWidth="1" min="23" max="23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Is_Participant</t>
        </is>
      </c>
      <c r="F1" t="inlineStr">
        <is>
          <t>Is_Member_ChM</t>
        </is>
      </c>
      <c r="G1" t="inlineStr">
        <is>
          <t>Participant ID (WP)</t>
        </is>
      </c>
      <c r="H1" t="inlineStr">
        <is>
          <t>Approval_Status (WP)</t>
        </is>
      </c>
      <c r="I1" t="inlineStr">
        <is>
          <t>Total_Open_ERRORs (WP)</t>
        </is>
      </c>
      <c r="J1" t="inlineStr">
        <is>
          <t>Gender</t>
        </is>
      </c>
      <c r="K1" t="inlineStr">
        <is>
          <t>Birthdate</t>
        </is>
      </c>
      <c r="L1" t="inlineStr">
        <is>
          <t>Age (at Event)</t>
        </is>
      </c>
      <c r="M1" t="inlineStr">
        <is>
          <t>Mobile Phone</t>
        </is>
      </c>
      <c r="N1" t="inlineStr">
        <is>
          <t>Email</t>
        </is>
      </c>
      <c r="O1" t="inlineStr">
        <is>
          <t>First_Open_ERROR_Desc (WP)</t>
        </is>
      </c>
      <c r="P1" t="inlineStr">
        <is>
          <t>Box 1</t>
        </is>
      </c>
      <c r="Q1" t="inlineStr">
        <is>
          <t>Box 2</t>
        </is>
      </c>
      <c r="R1" t="inlineStr">
        <is>
          <t>Box 3</t>
        </is>
      </c>
      <c r="S1" t="inlineStr">
        <is>
          <t>Box 4</t>
        </is>
      </c>
      <c r="T1" t="inlineStr">
        <is>
          <t>Box 5</t>
        </is>
      </c>
      <c r="U1" t="inlineStr">
        <is>
          <t>Box 6</t>
        </is>
      </c>
      <c r="V1" t="inlineStr">
        <is>
          <t>Photo URL (WP)</t>
        </is>
      </c>
      <c r="W1" t="inlineStr">
        <is>
          <t>Update_on_ChM</t>
        </is>
      </c>
    </row>
    <row r="2">
      <c r="A2" t="inlineStr">
        <is>
          <t>RPC</t>
        </is>
      </c>
      <c r="B2" t="inlineStr">
        <is>
          <t>3615935</t>
        </is>
      </c>
      <c r="C2" t="inlineStr">
        <is>
          <t>Emily</t>
        </is>
      </c>
      <c r="D2" t="inlineStr">
        <is>
          <t>Duong</t>
        </is>
      </c>
      <c r="E2" t="inlineStr">
        <is>
          <t>Yes</t>
        </is>
      </c>
      <c r="F2" t="inlineStr">
        <is>
          <t>Yes</t>
        </is>
      </c>
      <c r="G2" t="inlineStr">
        <is>
          <t>6</t>
        </is>
      </c>
      <c r="H2" t="inlineStr">
        <is>
          <t>pending_approval</t>
        </is>
      </c>
      <c r="I2" t="n">
        <v>1</v>
      </c>
      <c r="J2" t="inlineStr">
        <is>
          <t>Female</t>
        </is>
      </c>
      <c r="K2" t="inlineStr">
        <is>
          <t>2012-04-11</t>
        </is>
      </c>
      <c r="L2" t="n">
        <v>14</v>
      </c>
      <c r="M2" t="inlineStr">
        <is>
          <t>(714) 454-1390</t>
        </is>
      </c>
      <c r="N2" t="inlineStr">
        <is>
          <t>emilyduong411@gmail.com</t>
        </is>
      </c>
      <c r="O2" t="inlineStr">
        <is>
          <t>Consent form status unknown or not provided</t>
        </is>
      </c>
      <c r="P2" t="inlineStr">
        <is>
          <t>1. Correct identity, gender, age range</t>
        </is>
      </c>
      <c r="Q2" t="inlineStr">
        <is>
          <t>2. Consent Form Signed by Self or Parents</t>
        </is>
      </c>
      <c r="R2" t="inlineStr">
        <is>
          <t>3. Account created on Member Portal and logged in</t>
        </is>
      </c>
      <c r="S2" t="inlineStr">
        <is>
          <t>4. Valid Photo as ID for event check-in</t>
        </is>
      </c>
      <c r="T2" t="inlineStr"/>
      <c r="U2" t="inlineStr"/>
      <c r="V2">
        <f>HYPERLINK("https://chmeetings.blob.core.windows.net/846969/attachments/WTqSOpU4yE2opCVCMF2sJQ/637a0ed2-2668-4583-ae97-66dbcfffa078.jpg", "https://chmeetings.blob.core.windows.net/846969/attachments/WTqSOpU4yE2opCVCMF2sJQ/637a0ed2-2668-4583-ae97-66dbcfffa078.jpg")</f>
        <v/>
      </c>
      <c r="W2" t="inlineStr">
        <is>
          <t>2026-05-02 19:23:14</t>
        </is>
      </c>
    </row>
    <row r="3">
      <c r="A3" t="inlineStr">
        <is>
          <t>RPC</t>
        </is>
      </c>
      <c r="B3" t="inlineStr">
        <is>
          <t>3628891</t>
        </is>
      </c>
      <c r="C3" t="inlineStr">
        <is>
          <t>Aneesa</t>
        </is>
      </c>
      <c r="D3" t="inlineStr">
        <is>
          <t>Le</t>
        </is>
      </c>
      <c r="E3" t="inlineStr">
        <is>
          <t>Yes</t>
        </is>
      </c>
      <c r="F3" t="inlineStr">
        <is>
          <t>Yes</t>
        </is>
      </c>
      <c r="G3" t="inlineStr">
        <is>
          <t>70</t>
        </is>
      </c>
      <c r="H3" t="inlineStr">
        <is>
          <t>pending</t>
        </is>
      </c>
      <c r="I3" t="n">
        <v>1</v>
      </c>
      <c r="J3" t="inlineStr">
        <is>
          <t>Female</t>
        </is>
      </c>
      <c r="K3" t="inlineStr">
        <is>
          <t>2010-10-27</t>
        </is>
      </c>
      <c r="L3" t="n">
        <v>15</v>
      </c>
      <c r="M3" t="inlineStr">
        <is>
          <t>(562) 350-8879</t>
        </is>
      </c>
      <c r="N3" t="inlineStr">
        <is>
          <t>k10ale27@gmail.com</t>
        </is>
      </c>
      <c r="O3" t="inlineStr">
        <is>
          <t>Consent form status unknown or not provided</t>
        </is>
      </c>
      <c r="P3" t="inlineStr"/>
      <c r="Q3" t="inlineStr"/>
      <c r="R3" t="inlineStr"/>
      <c r="S3" t="inlineStr"/>
      <c r="T3" t="inlineStr"/>
      <c r="U3" t="inlineStr"/>
      <c r="V3">
        <f>HYPERLINK("https://chmeetings.blob.core.windows.net/846969/attachments/qYsqyoFUWkOaQb5QUBES6g/603d1093-8a12-4fff-ab36-9128541811d0.jpg", "https://chmeetings.blob.core.windows.net/846969/attachments/qYsqyoFUWkOaQb5QUBES6g/603d1093-8a12-4fff-ab36-9128541811d0.jpg")</f>
        <v/>
      </c>
      <c r="W3" t="inlineStr">
        <is>
          <t>2026-05-03 22:07:35</t>
        </is>
      </c>
    </row>
    <row r="4">
      <c r="A4" t="inlineStr">
        <is>
          <t>RPC</t>
        </is>
      </c>
      <c r="B4" t="inlineStr">
        <is>
          <t>3618796</t>
        </is>
      </c>
      <c r="C4" t="inlineStr">
        <is>
          <t>Jacob</t>
        </is>
      </c>
      <c r="D4" t="inlineStr">
        <is>
          <t>Le</t>
        </is>
      </c>
      <c r="E4" t="inlineStr">
        <is>
          <t>Yes</t>
        </is>
      </c>
      <c r="F4" t="inlineStr">
        <is>
          <t>Yes</t>
        </is>
      </c>
      <c r="G4" t="inlineStr">
        <is>
          <t>7</t>
        </is>
      </c>
      <c r="H4" t="inlineStr">
        <is>
          <t>pending</t>
        </is>
      </c>
      <c r="I4" t="n">
        <v>1</v>
      </c>
      <c r="J4" t="inlineStr">
        <is>
          <t>Male</t>
        </is>
      </c>
      <c r="K4" t="inlineStr">
        <is>
          <t>2009-09-21</t>
        </is>
      </c>
      <c r="L4" t="n">
        <v>16</v>
      </c>
      <c r="M4" t="inlineStr">
        <is>
          <t>(714) 316-9141</t>
        </is>
      </c>
      <c r="N4" t="inlineStr">
        <is>
          <t>jacob.mle21@gmail.com</t>
        </is>
      </c>
      <c r="O4" t="inlineStr">
        <is>
          <t>Consent form status unknown or not provided</t>
        </is>
      </c>
      <c r="P4" t="inlineStr">
        <is>
          <t>1. Correct identity, gender, age range</t>
        </is>
      </c>
      <c r="Q4" t="inlineStr"/>
      <c r="R4" t="inlineStr">
        <is>
          <t>3. Account created on Member Portal and logged in</t>
        </is>
      </c>
      <c r="S4" t="inlineStr">
        <is>
          <t>4. Valid Photo as ID for event check-in</t>
        </is>
      </c>
      <c r="T4" t="inlineStr"/>
      <c r="U4" t="inlineStr"/>
      <c r="V4">
        <f>HYPERLINK("https://chmeetings.blob.core.windows.net/846969/attachments/6phgsjmFklfKzzU3ErQ/5e007272-27f7-4f8f-a466-456aac4cdea1.jpg", "https://chmeetings.blob.core.windows.net/846969/attachments/6phgsjmFklfKzzU3ErQ/5e007272-27f7-4f8f-a466-456aac4cdea1.jpg")</f>
        <v/>
      </c>
      <c r="W4" t="inlineStr">
        <is>
          <t>2026-05-02 19:26:11</t>
        </is>
      </c>
    </row>
    <row r="5">
      <c r="A5" t="inlineStr">
        <is>
          <t>RPC</t>
        </is>
      </c>
      <c r="B5" t="inlineStr">
        <is>
          <t>4361920</t>
        </is>
      </c>
      <c r="C5" t="inlineStr">
        <is>
          <t>Ayden</t>
        </is>
      </c>
      <c r="D5" t="inlineStr">
        <is>
          <t>Luu</t>
        </is>
      </c>
      <c r="E5" t="inlineStr">
        <is>
          <t>Yes</t>
        </is>
      </c>
      <c r="F5" t="inlineStr">
        <is>
          <t>Yes</t>
        </is>
      </c>
      <c r="G5" t="inlineStr">
        <is>
          <t>4</t>
        </is>
      </c>
      <c r="H5" t="inlineStr">
        <is>
          <t>pending</t>
        </is>
      </c>
      <c r="I5" t="n">
        <v>1</v>
      </c>
      <c r="J5" t="inlineStr">
        <is>
          <t>Male</t>
        </is>
      </c>
      <c r="K5" t="inlineStr">
        <is>
          <t>2009-03-01</t>
        </is>
      </c>
      <c r="L5" t="n">
        <v>17</v>
      </c>
      <c r="M5" t="inlineStr">
        <is>
          <t>(714) 719-8452</t>
        </is>
      </c>
      <c r="N5" t="inlineStr">
        <is>
          <t>luuayden@gmail.com</t>
        </is>
      </c>
      <c r="O5" t="inlineStr">
        <is>
          <t>Consent form status unknown or not provided</t>
        </is>
      </c>
      <c r="P5" t="inlineStr">
        <is>
          <t>1. Correct identity, gender, age range</t>
        </is>
      </c>
      <c r="Q5" t="inlineStr"/>
      <c r="R5" t="inlineStr">
        <is>
          <t>3. Account created on Member Portal and logged in</t>
        </is>
      </c>
      <c r="S5" t="inlineStr">
        <is>
          <t>4. Valid Photo as ID for event check-in</t>
        </is>
      </c>
      <c r="T5" t="inlineStr"/>
      <c r="U5" t="inlineStr"/>
      <c r="V5">
        <f>HYPERLINK("https://chmeetings.blob.core.windows.net/846969/attachments/zwMnI3u99EOiML1Vo709lQ/e06bce6f-c69c-4e5b-aeb1-11312d8fd0dd.jpg", "https://chmeetings.blob.core.windows.net/846969/attachments/zwMnI3u99EOiML1Vo709lQ/e06bce6f-c69c-4e5b-aeb1-11312d8fd0dd.jpg")</f>
        <v/>
      </c>
      <c r="W5" t="inlineStr">
        <is>
          <t>2026-05-02 19:22:33</t>
        </is>
      </c>
    </row>
    <row r="6">
      <c r="A6" t="inlineStr">
        <is>
          <t>RPC</t>
        </is>
      </c>
      <c r="B6" t="inlineStr">
        <is>
          <t>3622254</t>
        </is>
      </c>
      <c r="C6" t="inlineStr">
        <is>
          <t>Serena</t>
        </is>
      </c>
      <c r="D6" t="inlineStr">
        <is>
          <t>Mai</t>
        </is>
      </c>
      <c r="E6" t="inlineStr">
        <is>
          <t>Yes</t>
        </is>
      </c>
      <c r="F6" t="inlineStr">
        <is>
          <t>Yes</t>
        </is>
      </c>
      <c r="G6" t="inlineStr">
        <is>
          <t>12</t>
        </is>
      </c>
      <c r="H6" t="inlineStr">
        <is>
          <t>pending</t>
        </is>
      </c>
      <c r="I6" t="n">
        <v>1</v>
      </c>
      <c r="J6" t="inlineStr">
        <is>
          <t>Female</t>
        </is>
      </c>
      <c r="K6" t="inlineStr">
        <is>
          <t>2010-11-16</t>
        </is>
      </c>
      <c r="L6" t="n">
        <v>15</v>
      </c>
      <c r="M6" t="inlineStr">
        <is>
          <t>(714) 873-5541</t>
        </is>
      </c>
      <c r="N6" t="inlineStr">
        <is>
          <t>Serenaquynhnga@gmail.com</t>
        </is>
      </c>
      <c r="O6" t="inlineStr">
        <is>
          <t>Consent form status unknown or not provided</t>
        </is>
      </c>
      <c r="P6" t="inlineStr">
        <is>
          <t>1. Correct identity, gender, age range</t>
        </is>
      </c>
      <c r="Q6" t="inlineStr"/>
      <c r="R6" t="inlineStr">
        <is>
          <t>3. Account created on Member Portal and logged in</t>
        </is>
      </c>
      <c r="S6" t="inlineStr">
        <is>
          <t>4. Valid Photo as ID for event check-in</t>
        </is>
      </c>
      <c r="T6" t="inlineStr"/>
      <c r="U6" t="inlineStr"/>
      <c r="V6">
        <f>HYPERLINK("https://chmeetings.blob.core.windows.net/846969/attachments/5NJ5RbEedbMYhRHg3aQ/440e3a48-4f2e-43e2-a71d-52fd0fb16bed.jpg", "https://chmeetings.blob.core.windows.net/846969/attachments/5NJ5RbEedbMYhRHg3aQ/440e3a48-4f2e-43e2-a71d-52fd0fb16bed.jpg")</f>
        <v/>
      </c>
      <c r="W6" t="inlineStr">
        <is>
          <t>2026-05-02 19:24:23</t>
        </is>
      </c>
    </row>
    <row r="7">
      <c r="A7" t="inlineStr">
        <is>
          <t>RPC</t>
        </is>
      </c>
      <c r="B7" t="inlineStr">
        <is>
          <t>3631136</t>
        </is>
      </c>
      <c r="C7" t="inlineStr">
        <is>
          <t>Celine</t>
        </is>
      </c>
      <c r="D7" t="inlineStr">
        <is>
          <t>Nguyen</t>
        </is>
      </c>
      <c r="E7" t="inlineStr">
        <is>
          <t>Yes</t>
        </is>
      </c>
      <c r="F7" t="inlineStr">
        <is>
          <t>Yes</t>
        </is>
      </c>
      <c r="G7" t="inlineStr">
        <is>
          <t>71</t>
        </is>
      </c>
      <c r="H7" t="inlineStr">
        <is>
          <t>pending</t>
        </is>
      </c>
      <c r="I7" t="n">
        <v>1</v>
      </c>
      <c r="J7" t="inlineStr">
        <is>
          <t>Female</t>
        </is>
      </c>
      <c r="K7" t="inlineStr">
        <is>
          <t>2012-04-17</t>
        </is>
      </c>
      <c r="L7" t="n">
        <v>14</v>
      </c>
      <c r="M7" t="inlineStr">
        <is>
          <t>16573345295</t>
        </is>
      </c>
      <c r="N7" t="inlineStr">
        <is>
          <t>celineng0417@gmail.com</t>
        </is>
      </c>
      <c r="O7" t="inlineStr">
        <is>
          <t>Consent form status unknown or not provided</t>
        </is>
      </c>
      <c r="P7" t="inlineStr"/>
      <c r="Q7" t="inlineStr"/>
      <c r="R7" t="inlineStr"/>
      <c r="S7" t="inlineStr"/>
      <c r="T7" t="inlineStr"/>
      <c r="U7" t="inlineStr"/>
      <c r="V7">
        <f>HYPERLINK("https://chmeetings.blob.core.windows.net/846969/attachments/Iv2VhaKKwkaFaBpP8S2ag/cac9b249-47a7-41a5-867f-c28bdfaebd54.jpg", "https://chmeetings.blob.core.windows.net/846969/attachments/Iv2VhaKKwkaFaBpP8S2ag/cac9b249-47a7-41a5-867f-c28bdfaebd54.jpg")</f>
        <v/>
      </c>
      <c r="W7" t="inlineStr">
        <is>
          <t>2026-05-03 22:04:59</t>
        </is>
      </c>
    </row>
    <row r="8">
      <c r="A8" t="inlineStr">
        <is>
          <t>RPC</t>
        </is>
      </c>
      <c r="B8" t="inlineStr">
        <is>
          <t>3318764</t>
        </is>
      </c>
      <c r="C8" t="inlineStr">
        <is>
          <t>Johnny</t>
        </is>
      </c>
      <c r="D8" t="inlineStr">
        <is>
          <t>Nguyen</t>
        </is>
      </c>
      <c r="E8" t="inlineStr">
        <is>
          <t>Yes</t>
        </is>
      </c>
      <c r="F8" t="inlineStr">
        <is>
          <t>Yes</t>
        </is>
      </c>
      <c r="G8" t="inlineStr">
        <is>
          <t>9</t>
        </is>
      </c>
      <c r="H8" t="inlineStr">
        <is>
          <t>pending_approval</t>
        </is>
      </c>
      <c r="I8" t="n">
        <v>1</v>
      </c>
      <c r="J8" t="inlineStr">
        <is>
          <t>Male</t>
        </is>
      </c>
      <c r="K8" t="inlineStr">
        <is>
          <t>2009-02-09</t>
        </is>
      </c>
      <c r="L8" t="n">
        <v>17</v>
      </c>
      <c r="M8" t="inlineStr">
        <is>
          <t>(714) 585-4961</t>
        </is>
      </c>
      <c r="N8" t="inlineStr">
        <is>
          <t>junnynewinn@gmail.com</t>
        </is>
      </c>
      <c r="O8" t="inlineStr">
        <is>
          <t>Consent form status unknown or not provided</t>
        </is>
      </c>
      <c r="P8" t="inlineStr">
        <is>
          <t>1. Correct identity, gender, age range</t>
        </is>
      </c>
      <c r="Q8" t="inlineStr">
        <is>
          <t>2. Consent Form Signed by Self or Parents</t>
        </is>
      </c>
      <c r="R8" t="inlineStr">
        <is>
          <t>3. Account created on Member Portal and logged in</t>
        </is>
      </c>
      <c r="S8" t="inlineStr">
        <is>
          <t>4. Valid Photo as ID for event check-in</t>
        </is>
      </c>
      <c r="T8" t="inlineStr"/>
      <c r="U8" t="inlineStr"/>
      <c r="V8">
        <f>HYPERLINK("https://chmeetings.blob.core.windows.net/846969/attachments/DoMq9dPmUUu8Q1z673WgQ/e87ffaee-015f-4989-96f9-da9736b2ff43.jpg", "https://chmeetings.blob.core.windows.net/846969/attachments/DoMq9dPmUUu8Q1z673WgQ/e87ffaee-015f-4989-96f9-da9736b2ff43.jpg")</f>
        <v/>
      </c>
      <c r="W8" t="inlineStr">
        <is>
          <t>2026-05-02 19:24:51</t>
        </is>
      </c>
    </row>
    <row r="9">
      <c r="A9" t="inlineStr">
        <is>
          <t>RPC</t>
        </is>
      </c>
      <c r="B9" t="inlineStr">
        <is>
          <t>4363698</t>
        </is>
      </c>
      <c r="C9" t="inlineStr">
        <is>
          <t>Thomas</t>
        </is>
      </c>
      <c r="D9" t="inlineStr">
        <is>
          <t>Phan</t>
        </is>
      </c>
      <c r="E9" t="inlineStr">
        <is>
          <t>Yes</t>
        </is>
      </c>
      <c r="F9" t="inlineStr">
        <is>
          <t>Yes</t>
        </is>
      </c>
      <c r="G9" t="inlineStr">
        <is>
          <t>77</t>
        </is>
      </c>
      <c r="H9" t="inlineStr">
        <is>
          <t>pending</t>
        </is>
      </c>
      <c r="I9" t="n">
        <v>1</v>
      </c>
      <c r="J9" t="inlineStr">
        <is>
          <t>Male</t>
        </is>
      </c>
      <c r="K9" t="inlineStr">
        <is>
          <t>2009-10-31</t>
        </is>
      </c>
      <c r="L9" t="n">
        <v>16</v>
      </c>
      <c r="M9" t="inlineStr">
        <is>
          <t>(714) 418-6964</t>
        </is>
      </c>
      <c r="N9" t="inlineStr">
        <is>
          <t>Phantomthomas31@gmail.com</t>
        </is>
      </c>
      <c r="O9" t="inlineStr">
        <is>
          <t>Consent form status unknown or not provided</t>
        </is>
      </c>
      <c r="P9" t="inlineStr"/>
      <c r="Q9" t="inlineStr"/>
      <c r="R9" t="inlineStr"/>
      <c r="S9" t="inlineStr"/>
      <c r="T9" t="inlineStr"/>
      <c r="U9" t="inlineStr"/>
      <c r="V9">
        <f>HYPERLINK("https://chmeetings.blob.core.windows.net/846969/attachments/qIYHWe3q8U0gELP4AgMfQ/4133a14e-e156-4df5-b4ec-cabb071ccea9.jpg", "https://chmeetings.blob.core.windows.net/846969/attachments/qIYHWe3q8U0gELP4AgMfQ/4133a14e-e156-4df5-b4ec-cabb071ccea9.jpg")</f>
        <v/>
      </c>
      <c r="W9" t="inlineStr">
        <is>
          <t>2026-05-03 22:03:01</t>
        </is>
      </c>
    </row>
    <row r="10">
      <c r="A10" t="inlineStr">
        <is>
          <t>RPC</t>
        </is>
      </c>
      <c r="B10" t="inlineStr">
        <is>
          <t>3623153</t>
        </is>
      </c>
      <c r="C10" t="inlineStr">
        <is>
          <t>Julianna</t>
        </is>
      </c>
      <c r="D10" t="inlineStr">
        <is>
          <t>Ramirez</t>
        </is>
      </c>
      <c r="E10" t="inlineStr">
        <is>
          <t>Yes</t>
        </is>
      </c>
      <c r="F10" t="inlineStr">
        <is>
          <t>Yes</t>
        </is>
      </c>
      <c r="G10" t="inlineStr">
        <is>
          <t>10</t>
        </is>
      </c>
      <c r="H10" t="inlineStr">
        <is>
          <t>pending</t>
        </is>
      </c>
      <c r="I10" t="n">
        <v>1</v>
      </c>
      <c r="J10" t="inlineStr">
        <is>
          <t>Female</t>
        </is>
      </c>
      <c r="K10" t="inlineStr">
        <is>
          <t>2011-03-09</t>
        </is>
      </c>
      <c r="L10" t="n">
        <v>15</v>
      </c>
      <c r="M10" t="inlineStr">
        <is>
          <t>(310) 927-2810</t>
        </is>
      </c>
      <c r="N10" t="inlineStr">
        <is>
          <t>jframirez3911@gmail.com</t>
        </is>
      </c>
      <c r="O10" t="inlineStr">
        <is>
          <t>Consent form status unknown or not provided</t>
        </is>
      </c>
      <c r="P10" t="inlineStr">
        <is>
          <t>1. Correct identity, gender, age range</t>
        </is>
      </c>
      <c r="Q10" t="inlineStr"/>
      <c r="R10" t="inlineStr">
        <is>
          <t>3. Account created on Member Portal and logged in</t>
        </is>
      </c>
      <c r="S10" t="inlineStr">
        <is>
          <t>4. Valid Photo as ID for event check-in</t>
        </is>
      </c>
      <c r="T10" t="inlineStr"/>
      <c r="U10" t="inlineStr"/>
      <c r="V10">
        <f>HYPERLINK("https://chmeetings.blob.core.windows.net/846969/attachments/uRGnrO7OUSC9u9A8qI6Ew/6d913fcf-92fa-46db-92ed-660ade1d2be9.jpg", "https://chmeetings.blob.core.windows.net/846969/attachments/uRGnrO7OUSC9u9A8qI6Ew/6d913fcf-92fa-46db-92ed-660ade1d2be9.jpg")</f>
        <v/>
      </c>
      <c r="W10" t="inlineStr">
        <is>
          <t>2026-05-02 19:36:20</t>
        </is>
      </c>
    </row>
    <row r="11">
      <c r="A11" t="inlineStr">
        <is>
          <t>RPC</t>
        </is>
      </c>
      <c r="B11" t="inlineStr">
        <is>
          <t>4363694</t>
        </is>
      </c>
      <c r="C11" t="inlineStr">
        <is>
          <t>Garrett</t>
        </is>
      </c>
      <c r="D11" t="inlineStr">
        <is>
          <t>Wong</t>
        </is>
      </c>
      <c r="E11" t="inlineStr">
        <is>
          <t>Yes</t>
        </is>
      </c>
      <c r="F11" t="inlineStr">
        <is>
          <t>No</t>
        </is>
      </c>
      <c r="G11" t="inlineStr">
        <is>
          <t>74</t>
        </is>
      </c>
      <c r="H11" t="inlineStr">
        <is>
          <t>pending</t>
        </is>
      </c>
      <c r="I11" t="n">
        <v>1</v>
      </c>
      <c r="J11" t="inlineStr">
        <is>
          <t>Male</t>
        </is>
      </c>
      <c r="K11" t="inlineStr">
        <is>
          <t>2008-12-11</t>
        </is>
      </c>
      <c r="L11" t="n">
        <v>17</v>
      </c>
      <c r="M11" t="inlineStr">
        <is>
          <t>(714) 824-7164</t>
        </is>
      </c>
      <c r="N11" t="inlineStr">
        <is>
          <t>gdog121107@gmail.com</t>
        </is>
      </c>
      <c r="O11" t="inlineStr">
        <is>
          <t>Consent form status unknown or not provided</t>
        </is>
      </c>
      <c r="P11" t="inlineStr"/>
      <c r="Q11" t="inlineStr"/>
      <c r="R11" t="inlineStr"/>
      <c r="S11" t="inlineStr"/>
      <c r="T11" t="inlineStr"/>
      <c r="U11" t="inlineStr"/>
      <c r="V11">
        <f>HYPERLINK("https://chmeetings.blob.core.windows.net/846969/attachments/crHhsVMlEkaqRf4RUhCow/d1e5e08d-8777-4bc6-9d04-9b585c7f3def.jpg", "https://chmeetings.blob.core.windows.net/846969/attachments/crHhsVMlEkaqRf4RUhCow/d1e5e08d-8777-4bc6-9d04-9b585c7f3def.jpg")</f>
        <v/>
      </c>
      <c r="W11" t="inlineStr">
        <is>
          <t>2026-05-03 21:59:14</t>
        </is>
      </c>
    </row>
    <row r="12">
      <c r="A12" t="inlineStr">
        <is>
          <t>RPC</t>
        </is>
      </c>
      <c r="B12" t="inlineStr">
        <is>
          <t>3631500</t>
        </is>
      </c>
      <c r="C12" t="inlineStr">
        <is>
          <t>Thomas</t>
        </is>
      </c>
      <c r="D12" t="inlineStr">
        <is>
          <t>Chau</t>
        </is>
      </c>
      <c r="E12" t="inlineStr">
        <is>
          <t>Yes</t>
        </is>
      </c>
      <c r="F12" t="inlineStr">
        <is>
          <t>Yes</t>
        </is>
      </c>
      <c r="G12" t="inlineStr">
        <is>
          <t>3</t>
        </is>
      </c>
      <c r="H12" t="inlineStr">
        <is>
          <t>approved</t>
        </is>
      </c>
      <c r="I12" t="n">
        <v>0</v>
      </c>
      <c r="J12" t="inlineStr">
        <is>
          <t>Male</t>
        </is>
      </c>
      <c r="K12" t="inlineStr">
        <is>
          <t>2000-05-16</t>
        </is>
      </c>
      <c r="L12" t="n">
        <v>26</v>
      </c>
      <c r="M12" t="inlineStr">
        <is>
          <t>(626) 616-0320</t>
        </is>
      </c>
      <c r="N12" t="inlineStr">
        <is>
          <t>thomaschau2468@gmail.com</t>
        </is>
      </c>
      <c r="O12" t="inlineStr"/>
      <c r="P12" t="inlineStr">
        <is>
          <t>1. Correct identity, gender, age range</t>
        </is>
      </c>
      <c r="Q12" t="inlineStr">
        <is>
          <t>2. Consent Form Signed by Self or Parents</t>
        </is>
      </c>
      <c r="R12" t="inlineStr">
        <is>
          <t>3. Account created on Member Portal and logged in</t>
        </is>
      </c>
      <c r="S12" t="inlineStr">
        <is>
          <t>4. Valid Photo as ID for event check-in</t>
        </is>
      </c>
      <c r="T12" t="inlineStr"/>
      <c r="U12" t="inlineStr"/>
      <c r="V12">
        <f>HYPERLINK("https://chmeetings.blob.core.windows.net/846969/attachments/rifFK8C6ukaBd61Muax2zg/aa81b1ba-79c7-4fa6-95fe-b2e76e624195.jpg", "https://chmeetings.blob.core.windows.net/846969/attachments/rifFK8C6ukaBd61Muax2zg/aa81b1ba-79c7-4fa6-95fe-b2e76e624195.jpg")</f>
        <v/>
      </c>
      <c r="W12" t="inlineStr">
        <is>
          <t>2026-05-02 17:32:43</t>
        </is>
      </c>
    </row>
    <row r="13">
      <c r="A13" t="inlineStr">
        <is>
          <t>RPC</t>
        </is>
      </c>
      <c r="B13" t="inlineStr">
        <is>
          <t>3139537</t>
        </is>
      </c>
      <c r="C13" t="inlineStr">
        <is>
          <t>Timmy</t>
        </is>
      </c>
      <c r="D13" t="inlineStr">
        <is>
          <t>Ho</t>
        </is>
      </c>
      <c r="E13" t="inlineStr">
        <is>
          <t>Yes</t>
        </is>
      </c>
      <c r="F13" t="inlineStr">
        <is>
          <t>Yes</t>
        </is>
      </c>
      <c r="G13" t="inlineStr">
        <is>
          <t>1</t>
        </is>
      </c>
      <c r="H13" t="inlineStr">
        <is>
          <t>validated</t>
        </is>
      </c>
      <c r="I13" t="n">
        <v>0</v>
      </c>
      <c r="J13" t="inlineStr">
        <is>
          <t>Male</t>
        </is>
      </c>
      <c r="K13" t="inlineStr">
        <is>
          <t>1999-11-10</t>
        </is>
      </c>
      <c r="L13" t="n">
        <v>26</v>
      </c>
      <c r="M13" t="inlineStr">
        <is>
          <t>(714) 402-0871</t>
        </is>
      </c>
      <c r="N13" t="inlineStr">
        <is>
          <t>timmyho@gmail.com</t>
        </is>
      </c>
      <c r="O13" t="inlineStr"/>
      <c r="P13" t="inlineStr">
        <is>
          <t>1. Correct identity, gender, age range</t>
        </is>
      </c>
      <c r="Q13" t="inlineStr"/>
      <c r="R13" t="inlineStr">
        <is>
          <t>3. Account created on Member Portal and logged in</t>
        </is>
      </c>
      <c r="S13" t="inlineStr"/>
      <c r="T13" t="inlineStr"/>
      <c r="U13" t="inlineStr"/>
      <c r="V13">
        <f>HYPERLINK("https://chmeetings.blob.core.windows.net/846969/attachments/SnpHAMwrs02Ca3FCo4ZWwQ/d2d98798-711b-4696-8295-52f9363648ed.jpg", "https://chmeetings.blob.core.windows.net/846969/attachments/SnpHAMwrs02Ca3FCo4ZWwQ/d2d98798-711b-4696-8295-52f9363648ed.jpg")</f>
        <v/>
      </c>
      <c r="W13" t="inlineStr">
        <is>
          <t>2026-05-03 18:45:12</t>
        </is>
      </c>
    </row>
    <row r="14">
      <c r="A14" t="inlineStr">
        <is>
          <t>RPC</t>
        </is>
      </c>
      <c r="B14" t="inlineStr">
        <is>
          <t>3618011</t>
        </is>
      </c>
      <c r="C14" t="inlineStr">
        <is>
          <t>Daniel</t>
        </is>
      </c>
      <c r="D14" t="inlineStr">
        <is>
          <t>Kang</t>
        </is>
      </c>
      <c r="E14" t="inlineStr">
        <is>
          <t>Yes</t>
        </is>
      </c>
      <c r="F14" t="inlineStr">
        <is>
          <t>No</t>
        </is>
      </c>
      <c r="G14" t="inlineStr">
        <is>
          <t>5</t>
        </is>
      </c>
      <c r="H14" t="inlineStr">
        <is>
          <t>pending_approval</t>
        </is>
      </c>
      <c r="I14" t="n">
        <v>0</v>
      </c>
      <c r="J14" t="inlineStr">
        <is>
          <t>Male</t>
        </is>
      </c>
      <c r="K14" t="inlineStr">
        <is>
          <t>2000-01-01</t>
        </is>
      </c>
      <c r="L14" t="n">
        <v>26</v>
      </c>
      <c r="M14" t="inlineStr">
        <is>
          <t>(510) 846-6754</t>
        </is>
      </c>
      <c r="N14" t="inlineStr">
        <is>
          <t>dkang1617@gmail.com</t>
        </is>
      </c>
      <c r="O14" t="inlineStr"/>
      <c r="P14" t="inlineStr">
        <is>
          <t>1. Correct identity, gender, age range</t>
        </is>
      </c>
      <c r="Q14" t="inlineStr">
        <is>
          <t>2. Consent Form Signed by Self or Parents</t>
        </is>
      </c>
      <c r="R14" t="inlineStr">
        <is>
          <t>3. Account created on Member Portal and logged in</t>
        </is>
      </c>
      <c r="S14" t="inlineStr">
        <is>
          <t>4. Valid Photo as ID for event check-in</t>
        </is>
      </c>
      <c r="T14" t="inlineStr"/>
      <c r="U14" t="inlineStr"/>
      <c r="V14">
        <f>HYPERLINK("https://chmeetings.blob.core.windows.net/846969/attachments/6OVYqNsD0EIO2D8oWesg/01a47c45-de35-4b60-95bb-c6e2d14b9c31.jpg", "https://chmeetings.blob.core.windows.net/846969/attachments/6OVYqNsD0EIO2D8oWesg/01a47c45-de35-4b60-95bb-c6e2d14b9c31.jpg")</f>
        <v/>
      </c>
      <c r="W14" t="inlineStr">
        <is>
          <t>2026-05-02 19:25:40</t>
        </is>
      </c>
    </row>
    <row r="15">
      <c r="A15" t="inlineStr">
        <is>
          <t>RPC</t>
        </is>
      </c>
      <c r="B15" t="inlineStr">
        <is>
          <t>3623161</t>
        </is>
      </c>
      <c r="C15" t="inlineStr">
        <is>
          <t>Dimitri</t>
        </is>
      </c>
      <c r="D15" t="inlineStr">
        <is>
          <t>Lam</t>
        </is>
      </c>
      <c r="E15" t="inlineStr">
        <is>
          <t>Yes</t>
        </is>
      </c>
      <c r="F15" t="inlineStr">
        <is>
          <t>Yes</t>
        </is>
      </c>
      <c r="G15" t="inlineStr">
        <is>
          <t>73</t>
        </is>
      </c>
      <c r="H15" t="inlineStr">
        <is>
          <t>validated</t>
        </is>
      </c>
      <c r="I15" t="n">
        <v>0</v>
      </c>
      <c r="J15" t="inlineStr">
        <is>
          <t>Male</t>
        </is>
      </c>
      <c r="K15" t="inlineStr">
        <is>
          <t>2001-10-11</t>
        </is>
      </c>
      <c r="L15" t="n">
        <v>24</v>
      </c>
      <c r="M15" t="inlineStr">
        <is>
          <t>(714) 204-9160</t>
        </is>
      </c>
      <c r="N15" t="inlineStr">
        <is>
          <t>Dimitrilam33@gmail.com</t>
        </is>
      </c>
      <c r="O15" t="inlineStr"/>
      <c r="P15" t="inlineStr"/>
      <c r="Q15" t="inlineStr"/>
      <c r="R15" t="inlineStr"/>
      <c r="S15" t="inlineStr"/>
      <c r="T15" t="inlineStr"/>
      <c r="U15" t="inlineStr"/>
      <c r="V15">
        <f>HYPERLINK("https://chmeetings.blob.core.windows.net/846969/attachments/zFu5Ye4YuEfPPzx7Tm6w/45aec502-759a-4cc4-ac10-f3507cc30551.jpg", "https://chmeetings.blob.core.windows.net/846969/attachments/zFu5Ye4YuEfPPzx7Tm6w/45aec502-759a-4cc4-ac10-f3507cc30551.jpg")</f>
        <v/>
      </c>
      <c r="W15" t="inlineStr">
        <is>
          <t>2026-05-03 22:07:20</t>
        </is>
      </c>
    </row>
    <row r="16">
      <c r="A16" t="inlineStr">
        <is>
          <t>RPC</t>
        </is>
      </c>
      <c r="B16" t="inlineStr">
        <is>
          <t>3318927</t>
        </is>
      </c>
      <c r="C16" t="inlineStr">
        <is>
          <t>Sam</t>
        </is>
      </c>
      <c r="D16" t="inlineStr">
        <is>
          <t>Le</t>
        </is>
      </c>
      <c r="E16" t="inlineStr">
        <is>
          <t>Yes</t>
        </is>
      </c>
      <c r="F16" t="inlineStr">
        <is>
          <t>Yes</t>
        </is>
      </c>
      <c r="G16" t="inlineStr">
        <is>
          <t>2</t>
        </is>
      </c>
      <c r="H16" t="inlineStr">
        <is>
          <t>pending_approval</t>
        </is>
      </c>
      <c r="I16" t="n">
        <v>0</v>
      </c>
      <c r="J16" t="inlineStr">
        <is>
          <t>Male</t>
        </is>
      </c>
      <c r="K16" t="inlineStr">
        <is>
          <t>1993-09-15</t>
        </is>
      </c>
      <c r="L16" t="n">
        <v>32</v>
      </c>
      <c r="M16" t="inlineStr">
        <is>
          <t>(562) 519-9430</t>
        </is>
      </c>
      <c r="N16" t="inlineStr">
        <is>
          <t>samuel93le@yahoo.com</t>
        </is>
      </c>
      <c r="O16" t="inlineStr"/>
      <c r="P16" t="inlineStr">
        <is>
          <t>1. Correct identity, gender, age range</t>
        </is>
      </c>
      <c r="Q16" t="inlineStr">
        <is>
          <t>2. Consent Form Signed by Self or Parents</t>
        </is>
      </c>
      <c r="R16" t="inlineStr">
        <is>
          <t>3. Account created on Member Portal and logged in</t>
        </is>
      </c>
      <c r="S16" t="inlineStr">
        <is>
          <t>4. Valid Photo as ID for event check-in</t>
        </is>
      </c>
      <c r="T16" t="inlineStr"/>
      <c r="U16" t="inlineStr"/>
      <c r="V16">
        <f>HYPERLINK("https://chmeetings.blob.core.windows.net/846969/attachments/Uf6oqihlIUGVO0UxdqT5Ow/6463a74d-f560-4dd7-950a-48411d288e1b.jpg", "https://chmeetings.blob.core.windows.net/846969/attachments/Uf6oqihlIUGVO0UxdqT5Ow/6463a74d-f560-4dd7-950a-48411d288e1b.jpg")</f>
        <v/>
      </c>
      <c r="W16" t="inlineStr">
        <is>
          <t>2026-05-02 17:08:00</t>
        </is>
      </c>
    </row>
    <row r="17">
      <c r="A17" t="inlineStr">
        <is>
          <t>RPC</t>
        </is>
      </c>
      <c r="B17" t="inlineStr">
        <is>
          <t>3319022</t>
        </is>
      </c>
      <c r="C17" t="inlineStr">
        <is>
          <t>Dean</t>
        </is>
      </c>
      <c r="D17" t="inlineStr">
        <is>
          <t>Nguyen</t>
        </is>
      </c>
      <c r="E17" t="inlineStr">
        <is>
          <t>Yes</t>
        </is>
      </c>
      <c r="F17" t="inlineStr">
        <is>
          <t>Yes</t>
        </is>
      </c>
      <c r="G17" t="inlineStr">
        <is>
          <t>72</t>
        </is>
      </c>
      <c r="H17" t="inlineStr">
        <is>
          <t>validated</t>
        </is>
      </c>
      <c r="I17" t="n">
        <v>0</v>
      </c>
      <c r="J17" t="inlineStr">
        <is>
          <t>Male</t>
        </is>
      </c>
      <c r="K17" t="inlineStr">
        <is>
          <t>2002-10-23</t>
        </is>
      </c>
      <c r="L17" t="n">
        <v>23</v>
      </c>
      <c r="M17" t="inlineStr">
        <is>
          <t>(714) 955-7492</t>
        </is>
      </c>
      <c r="N17" t="inlineStr">
        <is>
          <t>Deanbao3132@gmail.com</t>
        </is>
      </c>
      <c r="O17" t="inlineStr"/>
      <c r="P17" t="inlineStr"/>
      <c r="Q17" t="inlineStr"/>
      <c r="R17" t="inlineStr"/>
      <c r="S17" t="inlineStr"/>
      <c r="T17" t="inlineStr"/>
      <c r="U17" t="inlineStr"/>
      <c r="V17">
        <f>HYPERLINK("https://chmeetings.blob.core.windows.net/846969/attachments/wgs7ZEXaUeEkguHnHo1g/c1df6443-764d-4695-a9b9-0a02dd2360f6.jpg", "https://chmeetings.blob.core.windows.net/846969/attachments/wgs7ZEXaUeEkguHnHo1g/c1df6443-764d-4695-a9b9-0a02dd2360f6.jpg")</f>
        <v/>
      </c>
      <c r="W17" t="inlineStr">
        <is>
          <t>2026-05-03 22:01:30</t>
        </is>
      </c>
    </row>
    <row r="18">
      <c r="A18" t="inlineStr">
        <is>
          <t>RPC</t>
        </is>
      </c>
      <c r="B18" t="inlineStr">
        <is>
          <t>3555636</t>
        </is>
      </c>
      <c r="C18" t="inlineStr">
        <is>
          <t>James</t>
        </is>
      </c>
      <c r="D18" t="inlineStr">
        <is>
          <t>Nguyen</t>
        </is>
      </c>
      <c r="E18" t="inlineStr">
        <is>
          <t>Yes</t>
        </is>
      </c>
      <c r="F18" t="inlineStr">
        <is>
          <t>Yes</t>
        </is>
      </c>
      <c r="G18" t="inlineStr">
        <is>
          <t>8</t>
        </is>
      </c>
      <c r="H18" t="inlineStr">
        <is>
          <t>pending_approval</t>
        </is>
      </c>
      <c r="I18" t="n">
        <v>0</v>
      </c>
      <c r="J18" t="inlineStr">
        <is>
          <t>Male</t>
        </is>
      </c>
      <c r="K18" t="inlineStr">
        <is>
          <t>2007-03-29</t>
        </is>
      </c>
      <c r="L18" t="n">
        <v>19</v>
      </c>
      <c r="M18" t="inlineStr">
        <is>
          <t>(657) 678-8212</t>
        </is>
      </c>
      <c r="N18" t="inlineStr">
        <is>
          <t>jamesthesplashdog12345678@gmail.com</t>
        </is>
      </c>
      <c r="O18" t="inlineStr"/>
      <c r="P18" t="inlineStr">
        <is>
          <t>1. Correct identity, gender, age range</t>
        </is>
      </c>
      <c r="Q18" t="inlineStr">
        <is>
          <t>2. Consent Form Signed by Self or Parents</t>
        </is>
      </c>
      <c r="R18" t="inlineStr">
        <is>
          <t>3. Account created on Member Portal and logged in</t>
        </is>
      </c>
      <c r="S18" t="inlineStr">
        <is>
          <t>4. Valid Photo as ID for event check-in</t>
        </is>
      </c>
      <c r="T18" t="inlineStr"/>
      <c r="U18" t="inlineStr"/>
      <c r="V18">
        <f>HYPERLINK("https://chmeetings.blob.core.windows.net/846969/attachments/36FhCP1SVUOsQR7N2tJn1w/7ea62dc3-e494-43d3-847e-27ce2f1891cb.jpg", "https://chmeetings.blob.core.windows.net/846969/attachments/36FhCP1SVUOsQR7N2tJn1w/7ea62dc3-e494-43d3-847e-27ce2f1891cb.jpg")</f>
        <v/>
      </c>
      <c r="W18" t="inlineStr">
        <is>
          <t>2026-05-02 19:25:21</t>
        </is>
      </c>
    </row>
    <row r="19">
      <c r="A19" t="inlineStr">
        <is>
          <t>RPC</t>
        </is>
      </c>
      <c r="B19" t="inlineStr">
        <is>
          <t>3319105</t>
        </is>
      </c>
      <c r="C19" t="inlineStr">
        <is>
          <t>Khoi</t>
        </is>
      </c>
      <c r="D19" t="inlineStr">
        <is>
          <t>Quach</t>
        </is>
      </c>
      <c r="E19" t="inlineStr">
        <is>
          <t>Yes</t>
        </is>
      </c>
      <c r="F19" t="inlineStr">
        <is>
          <t>Yes</t>
        </is>
      </c>
      <c r="G19" t="inlineStr">
        <is>
          <t>11</t>
        </is>
      </c>
      <c r="H19" t="inlineStr">
        <is>
          <t>validated</t>
        </is>
      </c>
      <c r="I19" t="n">
        <v>0</v>
      </c>
      <c r="J19" t="inlineStr">
        <is>
          <t>Male</t>
        </is>
      </c>
      <c r="K19" t="inlineStr">
        <is>
          <t>1999-06-23</t>
        </is>
      </c>
      <c r="L19" t="n">
        <v>27</v>
      </c>
      <c r="M19" t="inlineStr">
        <is>
          <t>(626) 679-7802</t>
        </is>
      </c>
      <c r="N19" t="inlineStr">
        <is>
          <t>Kquach4706@gmail.com</t>
        </is>
      </c>
      <c r="O19" t="inlineStr"/>
      <c r="P19" t="inlineStr">
        <is>
          <t>1. Correct identity, gender, age range</t>
        </is>
      </c>
      <c r="Q19" t="inlineStr"/>
      <c r="R19" t="inlineStr">
        <is>
          <t>3. Account created on Member Portal and logged in</t>
        </is>
      </c>
      <c r="S19" t="inlineStr">
        <is>
          <t>4. Valid Photo as ID for event check-in</t>
        </is>
      </c>
      <c r="T19" t="inlineStr"/>
      <c r="U19" t="inlineStr"/>
      <c r="V19">
        <f>HYPERLINK("https://chmeetings.blob.core.windows.net/846969/attachments/bVZcD2bP0St7ybRoDd4Q/2b49c12a-c936-4b98-ab99-8cdef0996409.jpg", "https://chmeetings.blob.core.windows.net/846969/attachments/bVZcD2bP0St7ybRoDd4Q/2b49c12a-c936-4b98-ab99-8cdef0996409.jpg")</f>
        <v/>
      </c>
      <c r="W19" t="inlineStr">
        <is>
          <t>2026-05-02 19:26:31</t>
        </is>
      </c>
    </row>
    <row r="20">
      <c r="A20" t="inlineStr">
        <is>
          <t>RPC</t>
        </is>
      </c>
      <c r="B20" t="inlineStr">
        <is>
          <t>4363699</t>
        </is>
      </c>
      <c r="C20" t="inlineStr">
        <is>
          <t>Janice</t>
        </is>
      </c>
      <c r="D20" t="inlineStr">
        <is>
          <t>Vu</t>
        </is>
      </c>
      <c r="E20" t="inlineStr">
        <is>
          <t>Yes</t>
        </is>
      </c>
      <c r="F20" t="inlineStr">
        <is>
          <t>No</t>
        </is>
      </c>
      <c r="G20" t="inlineStr">
        <is>
          <t>75</t>
        </is>
      </c>
      <c r="H20" t="inlineStr">
        <is>
          <t>validated</t>
        </is>
      </c>
      <c r="I20" t="n">
        <v>0</v>
      </c>
      <c r="J20" t="inlineStr">
        <is>
          <t>Female</t>
        </is>
      </c>
      <c r="K20" t="inlineStr">
        <is>
          <t>2002-04-19</t>
        </is>
      </c>
      <c r="L20" t="n">
        <v>24</v>
      </c>
      <c r="M20" t="inlineStr">
        <is>
          <t>(714) 989-9158</t>
        </is>
      </c>
      <c r="N20" t="inlineStr">
        <is>
          <t>Janvu545@gmail.com</t>
        </is>
      </c>
      <c r="O20" t="inlineStr"/>
      <c r="P20" t="inlineStr"/>
      <c r="Q20" t="inlineStr"/>
      <c r="R20" t="inlineStr"/>
      <c r="S20" t="inlineStr"/>
      <c r="T20" t="inlineStr"/>
      <c r="U20" t="inlineStr"/>
      <c r="V20">
        <f>HYPERLINK("https://chmeetings.blob.core.windows.net/846969/attachments/O0mpFpTI5EuryRbrCKsw/37a73f2c-30f6-4c19-981f-aa31acc8d5a0.jpg", "https://chmeetings.blob.core.windows.net/846969/attachments/O0mpFpTI5EuryRbrCKsw/37a73f2c-30f6-4c19-981f-aa31acc8d5a0.jpg")</f>
        <v/>
      </c>
      <c r="W20" t="inlineStr">
        <is>
          <t>2026-05-03 22:03:02</t>
        </is>
      </c>
    </row>
    <row r="21">
      <c r="A21" t="inlineStr">
        <is>
          <t>RPC</t>
        </is>
      </c>
      <c r="B21" t="inlineStr">
        <is>
          <t>3636092</t>
        </is>
      </c>
      <c r="C21" t="inlineStr">
        <is>
          <t>jennifer</t>
        </is>
      </c>
      <c r="D21" t="inlineStr">
        <is>
          <t>ly</t>
        </is>
      </c>
      <c r="E21" t="inlineStr">
        <is>
          <t>Yes</t>
        </is>
      </c>
      <c r="F21" t="inlineStr">
        <is>
          <t>Yes</t>
        </is>
      </c>
      <c r="G21" t="inlineStr">
        <is>
          <t>76</t>
        </is>
      </c>
      <c r="H21" t="inlineStr">
        <is>
          <t>validated</t>
        </is>
      </c>
      <c r="I21" t="n">
        <v>0</v>
      </c>
      <c r="J21" t="inlineStr">
        <is>
          <t>Female</t>
        </is>
      </c>
      <c r="K21" t="inlineStr">
        <is>
          <t>2005-05-20</t>
        </is>
      </c>
      <c r="L21" t="n">
        <v>21</v>
      </c>
      <c r="M21" t="inlineStr">
        <is>
          <t>(714) 331-4416</t>
        </is>
      </c>
      <c r="N21" t="inlineStr">
        <is>
          <t>jefferly7899@gmail.com</t>
        </is>
      </c>
      <c r="O21" t="inlineStr"/>
      <c r="P21" t="inlineStr"/>
      <c r="Q21" t="inlineStr"/>
      <c r="R21" t="inlineStr"/>
      <c r="S21" t="inlineStr"/>
      <c r="T21" t="inlineStr"/>
      <c r="U21" t="inlineStr"/>
      <c r="V21">
        <f>HYPERLINK("https://chmeetings.blob.core.windows.net/846969/attachments/QKmokAHgD0CRoagnLQrkgw/bafd016a-9ab5-4d54-abbf-d878d7795f2a.jpg", "https://chmeetings.blob.core.windows.net/846969/attachments/QKmokAHgD0CRoagnLQrkgw/bafd016a-9ab5-4d54-abbf-d878d7795f2a.jpg")</f>
        <v/>
      </c>
      <c r="W21" t="inlineStr">
        <is>
          <t>2026-05-03 21:51:38</t>
        </is>
      </c>
    </row>
    <row r="22">
      <c r="A22" t="inlineStr">
        <is>
          <t>RPC</t>
        </is>
      </c>
      <c r="B22" t="inlineStr">
        <is>
          <t>3616816</t>
        </is>
      </c>
      <c r="C22" t="inlineStr">
        <is>
          <t>Chloe</t>
        </is>
      </c>
      <c r="D22" t="inlineStr">
        <is>
          <t>Hoang</t>
        </is>
      </c>
      <c r="E22" t="inlineStr">
        <is>
          <t>No</t>
        </is>
      </c>
      <c r="F22" t="inlineStr">
        <is>
          <t>Yes</t>
        </is>
      </c>
      <c r="G22" t="n">
        <v>0</v>
      </c>
      <c r="H22" t="inlineStr">
        <is>
          <t>N/A</t>
        </is>
      </c>
      <c r="I22" t="n">
        <v>0</v>
      </c>
      <c r="J22" t="inlineStr">
        <is>
          <t>Female</t>
        </is>
      </c>
      <c r="K22" t="inlineStr">
        <is>
          <t>2011-06-13</t>
        </is>
      </c>
      <c r="L22" t="n">
        <v>15</v>
      </c>
      <c r="M22" t="inlineStr">
        <is>
          <t>(657) 502-9676</t>
        </is>
      </c>
      <c r="N22" t="inlineStr">
        <is>
          <t>chloe.samantha.hoang@gmail.com</t>
        </is>
      </c>
      <c r="O22" t="inlineStr"/>
      <c r="P22" t="inlineStr">
        <is>
          <t>1. Correct identity, gender, age range</t>
        </is>
      </c>
      <c r="Q22" t="inlineStr"/>
      <c r="R22" t="inlineStr">
        <is>
          <t>3. Account created on Member Portal and logged in</t>
        </is>
      </c>
      <c r="S22" t="inlineStr">
        <is>
          <t>4. Valid Photo as ID for event check-in</t>
        </is>
      </c>
      <c r="T22" t="inlineStr"/>
      <c r="U22" t="inlineStr"/>
      <c r="V22" t="inlineStr">
        <is>
          <t>N/A</t>
        </is>
      </c>
      <c r="W22" t="inlineStr">
        <is>
          <t>2026-05-02 19:52:36</t>
        </is>
      </c>
    </row>
    <row r="23">
      <c r="A23" t="inlineStr">
        <is>
          <t>RPC</t>
        </is>
      </c>
      <c r="B23" t="inlineStr">
        <is>
          <t>3318813</t>
        </is>
      </c>
      <c r="C23" t="inlineStr">
        <is>
          <t>Kailah</t>
        </is>
      </c>
      <c r="D23" t="inlineStr">
        <is>
          <t>Tsai</t>
        </is>
      </c>
      <c r="E23" t="inlineStr">
        <is>
          <t>No</t>
        </is>
      </c>
      <c r="F23" t="inlineStr">
        <is>
          <t>Yes</t>
        </is>
      </c>
      <c r="G23" t="n">
        <v>0</v>
      </c>
      <c r="H23" t="inlineStr">
        <is>
          <t>N/A</t>
        </is>
      </c>
      <c r="I23" t="n">
        <v>0</v>
      </c>
      <c r="J23" t="inlineStr">
        <is>
          <t>Female</t>
        </is>
      </c>
      <c r="K23" t="inlineStr"/>
      <c r="L23" t="inlineStr"/>
      <c r="M23" t="inlineStr">
        <is>
          <t>(714) 860-2020</t>
        </is>
      </c>
      <c r="N23" t="inlineStr">
        <is>
          <t>shilah.tsai@hboptometry.com</t>
        </is>
      </c>
      <c r="O23" t="inlineStr"/>
      <c r="P23" t="inlineStr"/>
      <c r="Q23" t="inlineStr"/>
      <c r="R23" t="inlineStr">
        <is>
          <t>3. Account created on Member Portal and logged in</t>
        </is>
      </c>
      <c r="S23" t="inlineStr"/>
      <c r="T23" t="inlineStr"/>
      <c r="U23" t="inlineStr"/>
      <c r="V23" t="inlineStr">
        <is>
          <t>N/A</t>
        </is>
      </c>
      <c r="W23" t="inlineStr">
        <is>
          <t>2026-05-03 13:01:24</t>
        </is>
      </c>
    </row>
  </sheetData>
  <autoFilter ref="A1:W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6.5" customWidth="1" min="4" max="4"/>
    <col width="8.5" customWidth="1" min="5" max="5"/>
    <col width="50" customWidth="1" min="6" max="6"/>
    <col width="6" customWidth="1" min="7" max="7"/>
    <col width="5.5" customWidth="1" min="8" max="8"/>
    <col width="5" customWidth="1" min="9" max="9"/>
    <col width="9" customWidth="1" min="10" max="10"/>
    <col width="9" customWidth="1" min="11" max="11"/>
    <col width="13" customWidth="1" min="12" max="12"/>
    <col width="7" customWidth="1" min="13" max="13"/>
    <col width="8" customWidth="1" min="14" max="14"/>
    <col width="4" customWidth="1" min="15" max="15"/>
    <col width="7" customWidth="1" min="16" max="16"/>
    <col width="8" customWidth="1" min="17" max="17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s="1" t="inlineStr">
        <is>
          <t>Photo</t>
        </is>
      </c>
      <c r="G1" t="inlineStr">
        <is>
          <t>First Name</t>
        </is>
      </c>
      <c r="H1" t="inlineStr">
        <is>
          <t>Last Name</t>
        </is>
      </c>
      <c r="I1" t="inlineStr">
        <is>
          <t>Gender</t>
        </is>
      </c>
      <c r="J1" t="inlineStr">
        <is>
          <t>Age (at Event)</t>
        </is>
      </c>
      <c r="K1" t="inlineStr">
        <is>
          <t>Mobile Phone</t>
        </is>
      </c>
      <c r="L1" t="inlineStr">
        <is>
          <t>Email</t>
        </is>
      </c>
      <c r="M1" t="inlineStr">
        <is>
          <t>sport_type</t>
        </is>
      </c>
      <c r="N1" t="inlineStr">
        <is>
          <t>sport_gender</t>
        </is>
      </c>
      <c r="O1" t="inlineStr">
        <is>
          <t>sport_format</t>
        </is>
      </c>
      <c r="P1" t="inlineStr">
        <is>
          <t>team_order</t>
        </is>
      </c>
      <c r="Q1" t="inlineStr">
        <is>
          <t>partner_name</t>
        </is>
      </c>
    </row>
    <row r="2">
      <c r="A2" t="inlineStr">
        <is>
          <t>RPC</t>
        </is>
      </c>
      <c r="B2" t="inlineStr">
        <is>
          <t>3631500</t>
        </is>
      </c>
      <c r="C2" t="inlineStr">
        <is>
          <t>3</t>
        </is>
      </c>
      <c r="D2" t="inlineStr">
        <is>
          <t>approved</t>
        </is>
      </c>
      <c r="E2" t="b">
        <v>1</v>
      </c>
      <c r="F2">
        <f>IMAGE("https://chmeetings.blob.core.windows.net/846969/attachments/rifFK8C6ukaBd61Muax2zg/aa81b1ba-79c7-4fa6-95fe-b2e76e624195.jpg")</f>
        <v/>
      </c>
      <c r="G2" t="inlineStr">
        <is>
          <t>Thomas</t>
        </is>
      </c>
      <c r="H2" t="inlineStr">
        <is>
          <t>Chau</t>
        </is>
      </c>
      <c r="I2" t="inlineStr">
        <is>
          <t>Male</t>
        </is>
      </c>
      <c r="J2" t="n">
        <v>26</v>
      </c>
      <c r="K2" t="inlineStr">
        <is>
          <t>(626) 616-0320</t>
        </is>
      </c>
      <c r="L2" t="inlineStr">
        <is>
          <t>thomaschau2468@gmail.com</t>
        </is>
      </c>
      <c r="M2" t="inlineStr">
        <is>
          <t>Basketball</t>
        </is>
      </c>
      <c r="N2" t="inlineStr">
        <is>
          <t>Mixed</t>
        </is>
      </c>
      <c r="O2" t="inlineStr">
        <is>
          <t>Team</t>
        </is>
      </c>
      <c r="P2" t="inlineStr"/>
      <c r="Q2" t="inlineStr"/>
    </row>
    <row r="3">
      <c r="A3" t="inlineStr">
        <is>
          <t>RPC</t>
        </is>
      </c>
      <c r="B3" t="inlineStr">
        <is>
          <t>3139537</t>
        </is>
      </c>
      <c r="C3" t="inlineStr">
        <is>
          <t>1</t>
        </is>
      </c>
      <c r="D3" t="inlineStr">
        <is>
          <t>validated</t>
        </is>
      </c>
      <c r="E3" t="b">
        <v>1</v>
      </c>
      <c r="F3">
        <f>IMAGE("https://chmeetings.blob.core.windows.net/846969/attachments/SnpHAMwrs02Ca3FCo4ZWwQ/d2d98798-711b-4696-8295-52f9363648ed.jpg")</f>
        <v/>
      </c>
      <c r="G3" t="inlineStr">
        <is>
          <t>Timmy</t>
        </is>
      </c>
      <c r="H3" t="inlineStr">
        <is>
          <t>Ho</t>
        </is>
      </c>
      <c r="I3" t="inlineStr">
        <is>
          <t>Male</t>
        </is>
      </c>
      <c r="J3" t="n">
        <v>26</v>
      </c>
      <c r="K3" t="inlineStr">
        <is>
          <t>(714) 402-0871</t>
        </is>
      </c>
      <c r="L3" t="inlineStr">
        <is>
          <t>timmyho@gmail.com</t>
        </is>
      </c>
      <c r="M3" t="inlineStr">
        <is>
          <t>Basketball</t>
        </is>
      </c>
      <c r="N3" t="inlineStr">
        <is>
          <t>Mixed</t>
        </is>
      </c>
      <c r="O3" t="inlineStr">
        <is>
          <t>Team</t>
        </is>
      </c>
      <c r="P3" t="inlineStr"/>
      <c r="Q3" t="inlineStr"/>
    </row>
    <row r="4">
      <c r="A4" t="inlineStr">
        <is>
          <t>RPC</t>
        </is>
      </c>
      <c r="B4" t="inlineStr">
        <is>
          <t>3618011</t>
        </is>
      </c>
      <c r="C4" t="inlineStr">
        <is>
          <t>5</t>
        </is>
      </c>
      <c r="D4" t="inlineStr">
        <is>
          <t>pending_approval</t>
        </is>
      </c>
      <c r="E4" t="b">
        <v>0</v>
      </c>
      <c r="F4">
        <f>IMAGE("https://chmeetings.blob.core.windows.net/846969/attachments/6OVYqNsD0EIO2D8oWesg/01a47c45-de35-4b60-95bb-c6e2d14b9c31.jpg")</f>
        <v/>
      </c>
      <c r="G4" t="inlineStr">
        <is>
          <t>Daniel</t>
        </is>
      </c>
      <c r="H4" t="inlineStr">
        <is>
          <t>Kang</t>
        </is>
      </c>
      <c r="I4" t="inlineStr">
        <is>
          <t>Male</t>
        </is>
      </c>
      <c r="J4" t="n">
        <v>26</v>
      </c>
      <c r="K4" t="inlineStr">
        <is>
          <t>(510) 846-6754</t>
        </is>
      </c>
      <c r="L4" t="inlineStr">
        <is>
          <t>dkang1617@gmail.com</t>
        </is>
      </c>
      <c r="M4" t="inlineStr">
        <is>
          <t>Basketball</t>
        </is>
      </c>
      <c r="N4" t="inlineStr">
        <is>
          <t>Mixed</t>
        </is>
      </c>
      <c r="O4" t="inlineStr">
        <is>
          <t>Team</t>
        </is>
      </c>
      <c r="P4" t="inlineStr"/>
      <c r="Q4" t="inlineStr"/>
    </row>
    <row r="5">
      <c r="A5" t="inlineStr">
        <is>
          <t>RPC</t>
        </is>
      </c>
      <c r="B5" t="inlineStr">
        <is>
          <t>3623161</t>
        </is>
      </c>
      <c r="C5" t="inlineStr">
        <is>
          <t>73</t>
        </is>
      </c>
      <c r="D5" t="inlineStr">
        <is>
          <t>validated</t>
        </is>
      </c>
      <c r="E5" t="b">
        <v>1</v>
      </c>
      <c r="F5">
        <f>IMAGE("https://chmeetings.blob.core.windows.net/846969/attachments/zFu5Ye4YuEfPPzx7Tm6w/45aec502-759a-4cc4-ac10-f3507cc30551.jpg")</f>
        <v/>
      </c>
      <c r="G5" t="inlineStr">
        <is>
          <t>Dimitri</t>
        </is>
      </c>
      <c r="H5" t="inlineStr">
        <is>
          <t>Lam</t>
        </is>
      </c>
      <c r="I5" t="inlineStr">
        <is>
          <t>Male</t>
        </is>
      </c>
      <c r="J5" t="n">
        <v>24</v>
      </c>
      <c r="K5" t="inlineStr">
        <is>
          <t>(714) 204-9160</t>
        </is>
      </c>
      <c r="L5" t="inlineStr">
        <is>
          <t>Dimitrilam33@gmail.com</t>
        </is>
      </c>
      <c r="M5" t="inlineStr">
        <is>
          <t>Basketball</t>
        </is>
      </c>
      <c r="N5" t="inlineStr">
        <is>
          <t>Mixed</t>
        </is>
      </c>
      <c r="O5" t="inlineStr">
        <is>
          <t>Team</t>
        </is>
      </c>
      <c r="P5" t="inlineStr"/>
      <c r="Q5" t="inlineStr"/>
    </row>
    <row r="6">
      <c r="A6" t="inlineStr">
        <is>
          <t>RPC</t>
        </is>
      </c>
      <c r="B6" t="inlineStr">
        <is>
          <t>3618796</t>
        </is>
      </c>
      <c r="C6" t="inlineStr">
        <is>
          <t>7</t>
        </is>
      </c>
      <c r="D6" t="inlineStr">
        <is>
          <t>pending</t>
        </is>
      </c>
      <c r="E6" t="b">
        <v>1</v>
      </c>
      <c r="F6">
        <f>IMAGE("https://chmeetings.blob.core.windows.net/846969/attachments/6phgsjmFklfKzzU3ErQ/5e007272-27f7-4f8f-a466-456aac4cdea1.jpg")</f>
        <v/>
      </c>
      <c r="G6" t="inlineStr">
        <is>
          <t>Jacob</t>
        </is>
      </c>
      <c r="H6" t="inlineStr">
        <is>
          <t>Le</t>
        </is>
      </c>
      <c r="I6" t="inlineStr">
        <is>
          <t>Male</t>
        </is>
      </c>
      <c r="J6" t="n">
        <v>16</v>
      </c>
      <c r="K6" t="inlineStr">
        <is>
          <t>(714) 316-9141</t>
        </is>
      </c>
      <c r="L6" t="inlineStr">
        <is>
          <t>jacob.mle21@gmail.com</t>
        </is>
      </c>
      <c r="M6" t="inlineStr">
        <is>
          <t>Basketball</t>
        </is>
      </c>
      <c r="N6" t="inlineStr">
        <is>
          <t>Mixed</t>
        </is>
      </c>
      <c r="O6" t="inlineStr">
        <is>
          <t>Team</t>
        </is>
      </c>
      <c r="P6" t="inlineStr"/>
      <c r="Q6" t="inlineStr"/>
    </row>
    <row r="7">
      <c r="A7" t="inlineStr">
        <is>
          <t>RPC</t>
        </is>
      </c>
      <c r="B7" t="inlineStr">
        <is>
          <t>3555636</t>
        </is>
      </c>
      <c r="C7" t="inlineStr">
        <is>
          <t>8</t>
        </is>
      </c>
      <c r="D7" t="inlineStr">
        <is>
          <t>pending_approval</t>
        </is>
      </c>
      <c r="E7" t="b">
        <v>1</v>
      </c>
      <c r="F7">
        <f>IMAGE("https://chmeetings.blob.core.windows.net/846969/attachments/36FhCP1SVUOsQR7N2tJn1w/7ea62dc3-e494-43d3-847e-27ce2f1891cb.jpg")</f>
        <v/>
      </c>
      <c r="G7" t="inlineStr">
        <is>
          <t>James</t>
        </is>
      </c>
      <c r="H7" t="inlineStr">
        <is>
          <t>Nguyen</t>
        </is>
      </c>
      <c r="I7" t="inlineStr">
        <is>
          <t>Male</t>
        </is>
      </c>
      <c r="J7" t="n">
        <v>19</v>
      </c>
      <c r="K7" t="inlineStr">
        <is>
          <t>(657) 678-8212</t>
        </is>
      </c>
      <c r="L7" t="inlineStr">
        <is>
          <t>jamesthesplashdog12345678@gmail.com</t>
        </is>
      </c>
      <c r="M7" t="inlineStr">
        <is>
          <t>Basketball</t>
        </is>
      </c>
      <c r="N7" t="inlineStr">
        <is>
          <t>Mixed</t>
        </is>
      </c>
      <c r="O7" t="inlineStr">
        <is>
          <t>Team</t>
        </is>
      </c>
      <c r="P7" t="inlineStr"/>
      <c r="Q7" t="inlineStr"/>
    </row>
    <row r="8">
      <c r="A8" t="inlineStr">
        <is>
          <t>RPC</t>
        </is>
      </c>
      <c r="B8" t="inlineStr">
        <is>
          <t>4363698</t>
        </is>
      </c>
      <c r="C8" t="inlineStr">
        <is>
          <t>77</t>
        </is>
      </c>
      <c r="D8" t="inlineStr">
        <is>
          <t>pending</t>
        </is>
      </c>
      <c r="E8" t="b">
        <v>1</v>
      </c>
      <c r="F8">
        <f>IMAGE("https://chmeetings.blob.core.windows.net/846969/attachments/qIYHWe3q8U0gELP4AgMfQ/4133a14e-e156-4df5-b4ec-cabb071ccea9.jpg")</f>
        <v/>
      </c>
      <c r="G8" t="inlineStr">
        <is>
          <t>Thomas</t>
        </is>
      </c>
      <c r="H8" t="inlineStr">
        <is>
          <t>Phan</t>
        </is>
      </c>
      <c r="I8" t="inlineStr">
        <is>
          <t>Male</t>
        </is>
      </c>
      <c r="J8" t="n">
        <v>16</v>
      </c>
      <c r="K8" t="inlineStr">
        <is>
          <t>(714) 418-6964</t>
        </is>
      </c>
      <c r="L8" t="inlineStr">
        <is>
          <t>Phantomthomas31@gmail.com</t>
        </is>
      </c>
      <c r="M8" t="inlineStr">
        <is>
          <t>Basketball</t>
        </is>
      </c>
      <c r="N8" t="inlineStr">
        <is>
          <t>Mixed</t>
        </is>
      </c>
      <c r="O8" t="inlineStr">
        <is>
          <t>Team</t>
        </is>
      </c>
      <c r="P8" t="inlineStr"/>
      <c r="Q8" t="inlineStr"/>
    </row>
    <row r="9">
      <c r="A9" t="inlineStr">
        <is>
          <t>RPC</t>
        </is>
      </c>
      <c r="B9" t="inlineStr">
        <is>
          <t>3319105</t>
        </is>
      </c>
      <c r="C9" t="inlineStr">
        <is>
          <t>11</t>
        </is>
      </c>
      <c r="D9" t="inlineStr">
        <is>
          <t>validated</t>
        </is>
      </c>
      <c r="E9" t="b">
        <v>1</v>
      </c>
      <c r="F9">
        <f>IMAGE("https://chmeetings.blob.core.windows.net/846969/attachments/bVZcD2bP0St7ybRoDd4Q/2b49c12a-c936-4b98-ab99-8cdef0996409.jpg")</f>
        <v/>
      </c>
      <c r="G9" t="inlineStr">
        <is>
          <t>Khoi</t>
        </is>
      </c>
      <c r="H9" t="inlineStr">
        <is>
          <t>Quach</t>
        </is>
      </c>
      <c r="I9" t="inlineStr">
        <is>
          <t>Male</t>
        </is>
      </c>
      <c r="J9" t="n">
        <v>27</v>
      </c>
      <c r="K9" t="inlineStr">
        <is>
          <t>(626) 679-7802</t>
        </is>
      </c>
      <c r="L9" t="inlineStr">
        <is>
          <t>Kquach4706@gmail.com</t>
        </is>
      </c>
      <c r="M9" t="inlineStr">
        <is>
          <t>Basketball</t>
        </is>
      </c>
      <c r="N9" t="inlineStr">
        <is>
          <t>Mixed</t>
        </is>
      </c>
      <c r="O9" t="inlineStr">
        <is>
          <t>Team</t>
        </is>
      </c>
      <c r="P9" t="inlineStr"/>
      <c r="Q9" t="inlineStr"/>
    </row>
    <row r="10">
      <c r="A10" t="inlineStr">
        <is>
          <t>RPC</t>
        </is>
      </c>
      <c r="B10" t="inlineStr">
        <is>
          <t>3615935</t>
        </is>
      </c>
      <c r="C10" t="inlineStr">
        <is>
          <t>6</t>
        </is>
      </c>
      <c r="D10" t="inlineStr">
        <is>
          <t>pending_approval</t>
        </is>
      </c>
      <c r="E10" t="b">
        <v>1</v>
      </c>
      <c r="F10">
        <f>IMAGE("https://chmeetings.blob.core.windows.net/846969/attachments/WTqSOpU4yE2opCVCMF2sJQ/637a0ed2-2668-4583-ae97-66dbcfffa078.jpg")</f>
        <v/>
      </c>
      <c r="G10" t="inlineStr">
        <is>
          <t>Emily</t>
        </is>
      </c>
      <c r="H10" t="inlineStr">
        <is>
          <t>Duong</t>
        </is>
      </c>
      <c r="I10" t="inlineStr">
        <is>
          <t>Female</t>
        </is>
      </c>
      <c r="J10" t="n">
        <v>14</v>
      </c>
      <c r="K10" t="inlineStr">
        <is>
          <t>(714) 454-1390</t>
        </is>
      </c>
      <c r="L10" t="inlineStr">
        <is>
          <t>emilyduong411@gmail.com</t>
        </is>
      </c>
      <c r="M10" t="inlineStr">
        <is>
          <t>Bible Challenge</t>
        </is>
      </c>
      <c r="N10" t="inlineStr">
        <is>
          <t>Mixed</t>
        </is>
      </c>
      <c r="O10" t="inlineStr">
        <is>
          <t>Team</t>
        </is>
      </c>
      <c r="P10" t="inlineStr"/>
      <c r="Q10" t="inlineStr"/>
    </row>
    <row r="11">
      <c r="A11" t="inlineStr">
        <is>
          <t>RPC</t>
        </is>
      </c>
      <c r="B11" t="inlineStr">
        <is>
          <t>3319022</t>
        </is>
      </c>
      <c r="C11" t="inlineStr">
        <is>
          <t>72</t>
        </is>
      </c>
      <c r="D11" t="inlineStr">
        <is>
          <t>validated</t>
        </is>
      </c>
      <c r="E11" t="b">
        <v>1</v>
      </c>
      <c r="F11">
        <f>IMAGE("https://chmeetings.blob.core.windows.net/846969/attachments/wgs7ZEXaUeEkguHnHo1g/c1df6443-764d-4695-a9b9-0a02dd2360f6.jpg")</f>
        <v/>
      </c>
      <c r="G11" t="inlineStr">
        <is>
          <t>Dean</t>
        </is>
      </c>
      <c r="H11" t="inlineStr">
        <is>
          <t>Nguyen</t>
        </is>
      </c>
      <c r="I11" t="inlineStr">
        <is>
          <t>Male</t>
        </is>
      </c>
      <c r="J11" t="n">
        <v>23</v>
      </c>
      <c r="K11" t="inlineStr">
        <is>
          <t>(714) 955-7492</t>
        </is>
      </c>
      <c r="L11" t="inlineStr">
        <is>
          <t>Deanbao3132@gmail.com</t>
        </is>
      </c>
      <c r="M11" t="inlineStr">
        <is>
          <t>Pickleball</t>
        </is>
      </c>
      <c r="N11" t="inlineStr">
        <is>
          <t>Mixed</t>
        </is>
      </c>
      <c r="O11" t="inlineStr">
        <is>
          <t>Doubles</t>
        </is>
      </c>
      <c r="P11" t="inlineStr"/>
      <c r="Q11" t="inlineStr">
        <is>
          <t>Janice</t>
        </is>
      </c>
    </row>
    <row r="12">
      <c r="A12" t="inlineStr">
        <is>
          <t>RPC</t>
        </is>
      </c>
      <c r="B12" t="inlineStr">
        <is>
          <t>4363699</t>
        </is>
      </c>
      <c r="C12" t="inlineStr">
        <is>
          <t>75</t>
        </is>
      </c>
      <c r="D12" t="inlineStr">
        <is>
          <t>validated</t>
        </is>
      </c>
      <c r="E12" t="b">
        <v>0</v>
      </c>
      <c r="F12">
        <f>IMAGE("https://chmeetings.blob.core.windows.net/846969/attachments/O0mpFpTI5EuryRbrCKsw/37a73f2c-30f6-4c19-981f-aa31acc8d5a0.jpg")</f>
        <v/>
      </c>
      <c r="G12" t="inlineStr">
        <is>
          <t>Janice</t>
        </is>
      </c>
      <c r="H12" t="inlineStr">
        <is>
          <t>Vu</t>
        </is>
      </c>
      <c r="I12" t="inlineStr">
        <is>
          <t>Female</t>
        </is>
      </c>
      <c r="J12" t="n">
        <v>24</v>
      </c>
      <c r="K12" t="inlineStr">
        <is>
          <t>(714) 989-9158</t>
        </is>
      </c>
      <c r="L12" t="inlineStr">
        <is>
          <t>Janvu545@gmail.com</t>
        </is>
      </c>
      <c r="M12" t="inlineStr">
        <is>
          <t>Pickleball</t>
        </is>
      </c>
      <c r="N12" t="inlineStr">
        <is>
          <t>Mixed</t>
        </is>
      </c>
      <c r="O12" t="inlineStr">
        <is>
          <t>Doubles</t>
        </is>
      </c>
      <c r="P12" t="inlineStr"/>
      <c r="Q12" t="inlineStr"/>
    </row>
    <row r="13">
      <c r="A13" t="inlineStr">
        <is>
          <t>RPC</t>
        </is>
      </c>
      <c r="B13" t="inlineStr">
        <is>
          <t>3631500</t>
        </is>
      </c>
      <c r="C13" t="inlineStr">
        <is>
          <t>3</t>
        </is>
      </c>
      <c r="D13" t="inlineStr">
        <is>
          <t>approved</t>
        </is>
      </c>
      <c r="E13" t="b">
        <v>1</v>
      </c>
      <c r="F13">
        <f>IMAGE("https://chmeetings.blob.core.windows.net/846969/attachments/rifFK8C6ukaBd61Muax2zg/aa81b1ba-79c7-4fa6-95fe-b2e76e624195.jpg")</f>
        <v/>
      </c>
      <c r="G13" t="inlineStr">
        <is>
          <t>Thomas</t>
        </is>
      </c>
      <c r="H13" t="inlineStr">
        <is>
          <t>Chau</t>
        </is>
      </c>
      <c r="I13" t="inlineStr">
        <is>
          <t>Male</t>
        </is>
      </c>
      <c r="J13" t="n">
        <v>26</v>
      </c>
      <c r="K13" t="inlineStr">
        <is>
          <t>(626) 616-0320</t>
        </is>
      </c>
      <c r="L13" t="inlineStr">
        <is>
          <t>thomaschau2468@gmail.com</t>
        </is>
      </c>
      <c r="M13" t="inlineStr">
        <is>
          <t>Soccer - Coed Exhibition</t>
        </is>
      </c>
      <c r="N13" t="inlineStr">
        <is>
          <t>Mixed</t>
        </is>
      </c>
      <c r="O13" t="inlineStr">
        <is>
          <t>Team</t>
        </is>
      </c>
      <c r="P13" t="inlineStr"/>
      <c r="Q13" t="inlineStr"/>
    </row>
    <row r="14">
      <c r="A14" t="inlineStr">
        <is>
          <t>RPC</t>
        </is>
      </c>
      <c r="B14" t="inlineStr">
        <is>
          <t>3623161</t>
        </is>
      </c>
      <c r="C14" t="inlineStr">
        <is>
          <t>73</t>
        </is>
      </c>
      <c r="D14" t="inlineStr">
        <is>
          <t>validated</t>
        </is>
      </c>
      <c r="E14" t="b">
        <v>1</v>
      </c>
      <c r="F14">
        <f>IMAGE("https://chmeetings.blob.core.windows.net/846969/attachments/zFu5Ye4YuEfPPzx7Tm6w/45aec502-759a-4cc4-ac10-f3507cc30551.jpg")</f>
        <v/>
      </c>
      <c r="G14" t="inlineStr">
        <is>
          <t>Dimitri</t>
        </is>
      </c>
      <c r="H14" t="inlineStr">
        <is>
          <t>Lam</t>
        </is>
      </c>
      <c r="I14" t="inlineStr">
        <is>
          <t>Male</t>
        </is>
      </c>
      <c r="J14" t="n">
        <v>24</v>
      </c>
      <c r="K14" t="inlineStr">
        <is>
          <t>(714) 204-9160</t>
        </is>
      </c>
      <c r="L14" t="inlineStr">
        <is>
          <t>Dimitrilam33@gmail.com</t>
        </is>
      </c>
      <c r="M14" t="inlineStr">
        <is>
          <t>Soccer - Coed Exhibition</t>
        </is>
      </c>
      <c r="N14" t="inlineStr">
        <is>
          <t>Mixed</t>
        </is>
      </c>
      <c r="O14" t="inlineStr">
        <is>
          <t>Team</t>
        </is>
      </c>
      <c r="P14" t="inlineStr"/>
      <c r="Q14" t="inlineStr"/>
    </row>
    <row r="15">
      <c r="A15" t="inlineStr">
        <is>
          <t>RPC</t>
        </is>
      </c>
      <c r="B15" t="inlineStr">
        <is>
          <t>3555636</t>
        </is>
      </c>
      <c r="C15" t="inlineStr">
        <is>
          <t>8</t>
        </is>
      </c>
      <c r="D15" t="inlineStr">
        <is>
          <t>pending_approval</t>
        </is>
      </c>
      <c r="E15" t="b">
        <v>1</v>
      </c>
      <c r="F15">
        <f>IMAGE("https://chmeetings.blob.core.windows.net/846969/attachments/36FhCP1SVUOsQR7N2tJn1w/7ea62dc3-e494-43d3-847e-27ce2f1891cb.jpg")</f>
        <v/>
      </c>
      <c r="G15" t="inlineStr">
        <is>
          <t>James</t>
        </is>
      </c>
      <c r="H15" t="inlineStr">
        <is>
          <t>Nguyen</t>
        </is>
      </c>
      <c r="I15" t="inlineStr">
        <is>
          <t>Male</t>
        </is>
      </c>
      <c r="J15" t="n">
        <v>19</v>
      </c>
      <c r="K15" t="inlineStr">
        <is>
          <t>(657) 678-8212</t>
        </is>
      </c>
      <c r="L15" t="inlineStr">
        <is>
          <t>jamesthesplashdog12345678@gmail.com</t>
        </is>
      </c>
      <c r="M15" t="inlineStr">
        <is>
          <t>Table Tennis</t>
        </is>
      </c>
      <c r="N15" t="inlineStr">
        <is>
          <t>Men</t>
        </is>
      </c>
      <c r="O15" t="inlineStr">
        <is>
          <t>Singles</t>
        </is>
      </c>
      <c r="P15" t="inlineStr"/>
      <c r="Q15" t="inlineStr"/>
    </row>
    <row r="16">
      <c r="A16" t="inlineStr">
        <is>
          <t>RPC</t>
        </is>
      </c>
      <c r="B16" t="inlineStr">
        <is>
          <t>3636092</t>
        </is>
      </c>
      <c r="C16" t="inlineStr">
        <is>
          <t>76</t>
        </is>
      </c>
      <c r="D16" t="inlineStr">
        <is>
          <t>validated</t>
        </is>
      </c>
      <c r="E16" t="b">
        <v>1</v>
      </c>
      <c r="F16">
        <f>IMAGE("https://chmeetings.blob.core.windows.net/846969/attachments/QKmokAHgD0CRoagnLQrkgw/bafd016a-9ab5-4d54-abbf-d878d7795f2a.jpg")</f>
        <v/>
      </c>
      <c r="G16" t="inlineStr">
        <is>
          <t>jennifer</t>
        </is>
      </c>
      <c r="H16" t="inlineStr">
        <is>
          <t>ly</t>
        </is>
      </c>
      <c r="I16" t="inlineStr">
        <is>
          <t>Female</t>
        </is>
      </c>
      <c r="J16" t="n">
        <v>21</v>
      </c>
      <c r="K16" t="inlineStr">
        <is>
          <t>(714) 331-4416</t>
        </is>
      </c>
      <c r="L16" t="inlineStr">
        <is>
          <t>jefferly7899@gmail.com</t>
        </is>
      </c>
      <c r="M16" t="inlineStr">
        <is>
          <t>Table Tennis</t>
        </is>
      </c>
      <c r="N16" t="inlineStr">
        <is>
          <t>Women</t>
        </is>
      </c>
      <c r="O16" t="inlineStr">
        <is>
          <t>Singles</t>
        </is>
      </c>
      <c r="P16" t="inlineStr"/>
      <c r="Q16" t="inlineStr"/>
    </row>
    <row r="17">
      <c r="A17" t="inlineStr">
        <is>
          <t>RPC</t>
        </is>
      </c>
      <c r="B17" t="inlineStr">
        <is>
          <t>3622254</t>
        </is>
      </c>
      <c r="C17" t="inlineStr">
        <is>
          <t>12</t>
        </is>
      </c>
      <c r="D17" t="inlineStr">
        <is>
          <t>pending</t>
        </is>
      </c>
      <c r="E17" t="b">
        <v>1</v>
      </c>
      <c r="F17">
        <f>IMAGE("https://chmeetings.blob.core.windows.net/846969/attachments/5NJ5RbEedbMYhRHg3aQ/440e3a48-4f2e-43e2-a71d-52fd0fb16bed.jpg")</f>
        <v/>
      </c>
      <c r="G17" t="inlineStr">
        <is>
          <t>Serena</t>
        </is>
      </c>
      <c r="H17" t="inlineStr">
        <is>
          <t>Mai</t>
        </is>
      </c>
      <c r="I17" t="inlineStr">
        <is>
          <t>Female</t>
        </is>
      </c>
      <c r="J17" t="n">
        <v>15</v>
      </c>
      <c r="K17" t="inlineStr">
        <is>
          <t>(714) 873-5541</t>
        </is>
      </c>
      <c r="L17" t="inlineStr">
        <is>
          <t>Serenaquynhnga@gmail.com</t>
        </is>
      </c>
      <c r="M17" t="inlineStr">
        <is>
          <t>Tennis</t>
        </is>
      </c>
      <c r="N17" t="inlineStr">
        <is>
          <t>Mixed</t>
        </is>
      </c>
      <c r="O17" t="inlineStr">
        <is>
          <t>Team</t>
        </is>
      </c>
      <c r="P17" t="inlineStr"/>
      <c r="Q17" t="inlineStr"/>
    </row>
    <row r="18">
      <c r="A18" t="inlineStr">
        <is>
          <t>RPC</t>
        </is>
      </c>
      <c r="B18" t="inlineStr">
        <is>
          <t>3319022</t>
        </is>
      </c>
      <c r="C18" t="inlineStr">
        <is>
          <t>72</t>
        </is>
      </c>
      <c r="D18" t="inlineStr">
        <is>
          <t>validated</t>
        </is>
      </c>
      <c r="E18" t="b">
        <v>1</v>
      </c>
      <c r="F18">
        <f>IMAGE("https://chmeetings.blob.core.windows.net/846969/attachments/wgs7ZEXaUeEkguHnHo1g/c1df6443-764d-4695-a9b9-0a02dd2360f6.jpg")</f>
        <v/>
      </c>
      <c r="G18" t="inlineStr">
        <is>
          <t>Dean</t>
        </is>
      </c>
      <c r="H18" t="inlineStr">
        <is>
          <t>Nguyen</t>
        </is>
      </c>
      <c r="I18" t="inlineStr">
        <is>
          <t>Male</t>
        </is>
      </c>
      <c r="J18" t="n">
        <v>23</v>
      </c>
      <c r="K18" t="inlineStr">
        <is>
          <t>(714) 955-7492</t>
        </is>
      </c>
      <c r="L18" t="inlineStr">
        <is>
          <t>Deanbao3132@gmail.com</t>
        </is>
      </c>
      <c r="M18" t="inlineStr">
        <is>
          <t>Tennis</t>
        </is>
      </c>
      <c r="N18" t="inlineStr">
        <is>
          <t>Mixed</t>
        </is>
      </c>
      <c r="O18" t="inlineStr">
        <is>
          <t>Doubles</t>
        </is>
      </c>
      <c r="P18" t="inlineStr"/>
      <c r="Q18" t="inlineStr">
        <is>
          <t>Janice</t>
        </is>
      </c>
    </row>
    <row r="19">
      <c r="A19" t="inlineStr">
        <is>
          <t>RPC</t>
        </is>
      </c>
      <c r="B19" t="inlineStr">
        <is>
          <t>4363699</t>
        </is>
      </c>
      <c r="C19" t="inlineStr">
        <is>
          <t>75</t>
        </is>
      </c>
      <c r="D19" t="inlineStr">
        <is>
          <t>validated</t>
        </is>
      </c>
      <c r="E19" t="b">
        <v>0</v>
      </c>
      <c r="F19">
        <f>IMAGE("https://chmeetings.blob.core.windows.net/846969/attachments/O0mpFpTI5EuryRbrCKsw/37a73f2c-30f6-4c19-981f-aa31acc8d5a0.jpg")</f>
        <v/>
      </c>
      <c r="G19" t="inlineStr">
        <is>
          <t>Janice</t>
        </is>
      </c>
      <c r="H19" t="inlineStr">
        <is>
          <t>Vu</t>
        </is>
      </c>
      <c r="I19" t="inlineStr">
        <is>
          <t>Female</t>
        </is>
      </c>
      <c r="J19" t="n">
        <v>24</v>
      </c>
      <c r="K19" t="inlineStr">
        <is>
          <t>(714) 989-9158</t>
        </is>
      </c>
      <c r="L19" t="inlineStr">
        <is>
          <t>Janvu545@gmail.com</t>
        </is>
      </c>
      <c r="M19" t="inlineStr">
        <is>
          <t>Tennis</t>
        </is>
      </c>
      <c r="N19" t="inlineStr">
        <is>
          <t>Mixed</t>
        </is>
      </c>
      <c r="O19" t="inlineStr">
        <is>
          <t>Doubles</t>
        </is>
      </c>
      <c r="P19" t="inlineStr"/>
      <c r="Q19" t="inlineStr"/>
    </row>
    <row r="20">
      <c r="A20" t="inlineStr">
        <is>
          <t>RPC</t>
        </is>
      </c>
      <c r="B20" t="inlineStr">
        <is>
          <t>3628891</t>
        </is>
      </c>
      <c r="C20" t="inlineStr">
        <is>
          <t>70</t>
        </is>
      </c>
      <c r="D20" t="inlineStr">
        <is>
          <t>pending</t>
        </is>
      </c>
      <c r="E20" t="b">
        <v>1</v>
      </c>
      <c r="F20">
        <f>IMAGE("https://chmeetings.blob.core.windows.net/846969/attachments/qYsqyoFUWkOaQb5QUBES6g/603d1093-8a12-4fff-ab36-9128541811d0.jpg")</f>
        <v/>
      </c>
      <c r="G20" t="inlineStr">
        <is>
          <t>Aneesa</t>
        </is>
      </c>
      <c r="H20" t="inlineStr">
        <is>
          <t>Le</t>
        </is>
      </c>
      <c r="I20" t="inlineStr">
        <is>
          <t>Female</t>
        </is>
      </c>
      <c r="J20" t="n">
        <v>15</v>
      </c>
      <c r="K20" t="inlineStr">
        <is>
          <t>(562) 350-8879</t>
        </is>
      </c>
      <c r="L20" t="inlineStr">
        <is>
          <t>k10ale27@gmail.com</t>
        </is>
      </c>
      <c r="M20" t="inlineStr">
        <is>
          <t>Track &amp; Field</t>
        </is>
      </c>
      <c r="N20" t="inlineStr">
        <is>
          <t>Mixed</t>
        </is>
      </c>
      <c r="O20" t="inlineStr">
        <is>
          <t>Team</t>
        </is>
      </c>
      <c r="P20" t="inlineStr"/>
      <c r="Q20" t="inlineStr"/>
    </row>
    <row r="21">
      <c r="A21" t="inlineStr">
        <is>
          <t>RPC</t>
        </is>
      </c>
      <c r="B21" t="inlineStr">
        <is>
          <t>3618796</t>
        </is>
      </c>
      <c r="C21" t="inlineStr">
        <is>
          <t>7</t>
        </is>
      </c>
      <c r="D21" t="inlineStr">
        <is>
          <t>pending</t>
        </is>
      </c>
      <c r="E21" t="b">
        <v>1</v>
      </c>
      <c r="F21">
        <f>IMAGE("https://chmeetings.blob.core.windows.net/846969/attachments/6phgsjmFklfKzzU3ErQ/5e007272-27f7-4f8f-a466-456aac4cdea1.jpg")</f>
        <v/>
      </c>
      <c r="G21" t="inlineStr">
        <is>
          <t>Jacob</t>
        </is>
      </c>
      <c r="H21" t="inlineStr">
        <is>
          <t>Le</t>
        </is>
      </c>
      <c r="I21" t="inlineStr">
        <is>
          <t>Male</t>
        </is>
      </c>
      <c r="J21" t="n">
        <v>16</v>
      </c>
      <c r="K21" t="inlineStr">
        <is>
          <t>(714) 316-9141</t>
        </is>
      </c>
      <c r="L21" t="inlineStr">
        <is>
          <t>jacob.mle21@gmail.com</t>
        </is>
      </c>
      <c r="M21" t="inlineStr">
        <is>
          <t>Track &amp; Field</t>
        </is>
      </c>
      <c r="N21" t="inlineStr">
        <is>
          <t>Mixed</t>
        </is>
      </c>
      <c r="O21" t="inlineStr">
        <is>
          <t>Team</t>
        </is>
      </c>
      <c r="P21" t="inlineStr"/>
      <c r="Q21" t="inlineStr"/>
    </row>
    <row r="22">
      <c r="A22" t="inlineStr">
        <is>
          <t>RPC</t>
        </is>
      </c>
      <c r="B22" t="inlineStr">
        <is>
          <t>3318927</t>
        </is>
      </c>
      <c r="C22" t="inlineStr">
        <is>
          <t>2</t>
        </is>
      </c>
      <c r="D22" t="inlineStr">
        <is>
          <t>pending_approval</t>
        </is>
      </c>
      <c r="E22" t="b">
        <v>1</v>
      </c>
      <c r="F22">
        <f>IMAGE("https://chmeetings.blob.core.windows.net/846969/attachments/Uf6oqihlIUGVO0UxdqT5Ow/6463a74d-f560-4dd7-950a-48411d288e1b.jpg")</f>
        <v/>
      </c>
      <c r="G22" t="inlineStr">
        <is>
          <t>Sam</t>
        </is>
      </c>
      <c r="H22" t="inlineStr">
        <is>
          <t>Le</t>
        </is>
      </c>
      <c r="I22" t="inlineStr">
        <is>
          <t>Male</t>
        </is>
      </c>
      <c r="J22" t="n">
        <v>32</v>
      </c>
      <c r="K22" t="inlineStr">
        <is>
          <t>(562) 519-9430</t>
        </is>
      </c>
      <c r="L22" t="inlineStr">
        <is>
          <t>samuel93le@yahoo.com</t>
        </is>
      </c>
      <c r="M22" t="inlineStr">
        <is>
          <t>Track &amp; Field</t>
        </is>
      </c>
      <c r="N22" t="inlineStr">
        <is>
          <t>Mixed</t>
        </is>
      </c>
      <c r="O22" t="inlineStr">
        <is>
          <t>Team</t>
        </is>
      </c>
      <c r="P22" t="inlineStr"/>
      <c r="Q22" t="inlineStr"/>
    </row>
    <row r="23">
      <c r="A23" t="inlineStr">
        <is>
          <t>RPC</t>
        </is>
      </c>
      <c r="B23" t="inlineStr">
        <is>
          <t>3318764</t>
        </is>
      </c>
      <c r="C23" t="inlineStr">
        <is>
          <t>9</t>
        </is>
      </c>
      <c r="D23" t="inlineStr">
        <is>
          <t>pending_approval</t>
        </is>
      </c>
      <c r="E23" t="b">
        <v>1</v>
      </c>
      <c r="F23">
        <f>IMAGE("https://chmeetings.blob.core.windows.net/846969/attachments/DoMq9dPmUUu8Q1z673WgQ/e87ffaee-015f-4989-96f9-da9736b2ff43.jpg")</f>
        <v/>
      </c>
      <c r="G23" t="inlineStr">
        <is>
          <t>Johnny</t>
        </is>
      </c>
      <c r="H23" t="inlineStr">
        <is>
          <t>Nguyen</t>
        </is>
      </c>
      <c r="I23" t="inlineStr">
        <is>
          <t>Male</t>
        </is>
      </c>
      <c r="J23" t="n">
        <v>17</v>
      </c>
      <c r="K23" t="inlineStr">
        <is>
          <t>(714) 585-4961</t>
        </is>
      </c>
      <c r="L23" t="inlineStr">
        <is>
          <t>junnynewinn@gmail.com</t>
        </is>
      </c>
      <c r="M23" t="inlineStr">
        <is>
          <t>Track &amp; Field</t>
        </is>
      </c>
      <c r="N23" t="inlineStr">
        <is>
          <t>Mixed</t>
        </is>
      </c>
      <c r="O23" t="inlineStr">
        <is>
          <t>Team</t>
        </is>
      </c>
      <c r="P23" t="inlineStr"/>
      <c r="Q23" t="inlineStr"/>
    </row>
    <row r="24">
      <c r="A24" t="inlineStr">
        <is>
          <t>RPC</t>
        </is>
      </c>
      <c r="B24" t="inlineStr">
        <is>
          <t>3139537</t>
        </is>
      </c>
      <c r="C24" t="inlineStr">
        <is>
          <t>1</t>
        </is>
      </c>
      <c r="D24" t="inlineStr">
        <is>
          <t>validated</t>
        </is>
      </c>
      <c r="E24" t="b">
        <v>1</v>
      </c>
      <c r="F24">
        <f>IMAGE("https://chmeetings.blob.core.windows.net/846969/attachments/SnpHAMwrs02Ca3FCo4ZWwQ/d2d98798-711b-4696-8295-52f9363648ed.jpg")</f>
        <v/>
      </c>
      <c r="G24" t="inlineStr">
        <is>
          <t>Timmy</t>
        </is>
      </c>
      <c r="H24" t="inlineStr">
        <is>
          <t>Ho</t>
        </is>
      </c>
      <c r="I24" t="inlineStr">
        <is>
          <t>Male</t>
        </is>
      </c>
      <c r="J24" t="n">
        <v>26</v>
      </c>
      <c r="K24" t="inlineStr">
        <is>
          <t>(714) 402-0871</t>
        </is>
      </c>
      <c r="L24" t="inlineStr">
        <is>
          <t>timmyho@gmail.com</t>
        </is>
      </c>
      <c r="M24" t="inlineStr">
        <is>
          <t>Volleyball</t>
        </is>
      </c>
      <c r="N24" t="inlineStr">
        <is>
          <t>Men</t>
        </is>
      </c>
      <c r="O24" t="inlineStr">
        <is>
          <t>Team</t>
        </is>
      </c>
      <c r="P24" t="inlineStr"/>
      <c r="Q24" t="inlineStr"/>
    </row>
    <row r="25">
      <c r="A25" t="inlineStr">
        <is>
          <t>RPC</t>
        </is>
      </c>
      <c r="B25" t="inlineStr">
        <is>
          <t>3618011</t>
        </is>
      </c>
      <c r="C25" t="inlineStr">
        <is>
          <t>5</t>
        </is>
      </c>
      <c r="D25" t="inlineStr">
        <is>
          <t>pending_approval</t>
        </is>
      </c>
      <c r="E25" t="b">
        <v>0</v>
      </c>
      <c r="F25">
        <f>IMAGE("https://chmeetings.blob.core.windows.net/846969/attachments/6OVYqNsD0EIO2D8oWesg/01a47c45-de35-4b60-95bb-c6e2d14b9c31.jpg")</f>
        <v/>
      </c>
      <c r="G25" t="inlineStr">
        <is>
          <t>Daniel</t>
        </is>
      </c>
      <c r="H25" t="inlineStr">
        <is>
          <t>Kang</t>
        </is>
      </c>
      <c r="I25" t="inlineStr">
        <is>
          <t>Male</t>
        </is>
      </c>
      <c r="J25" t="n">
        <v>26</v>
      </c>
      <c r="K25" t="inlineStr">
        <is>
          <t>(510) 846-6754</t>
        </is>
      </c>
      <c r="L25" t="inlineStr">
        <is>
          <t>dkang1617@gmail.com</t>
        </is>
      </c>
      <c r="M25" t="inlineStr">
        <is>
          <t>Volleyball</t>
        </is>
      </c>
      <c r="N25" t="inlineStr">
        <is>
          <t>Men</t>
        </is>
      </c>
      <c r="O25" t="inlineStr">
        <is>
          <t>Team</t>
        </is>
      </c>
      <c r="P25" t="inlineStr"/>
      <c r="Q25" t="inlineStr"/>
    </row>
    <row r="26">
      <c r="A26" t="inlineStr">
        <is>
          <t>RPC</t>
        </is>
      </c>
      <c r="B26" t="inlineStr">
        <is>
          <t>3623161</t>
        </is>
      </c>
      <c r="C26" t="inlineStr">
        <is>
          <t>73</t>
        </is>
      </c>
      <c r="D26" t="inlineStr">
        <is>
          <t>validated</t>
        </is>
      </c>
      <c r="E26" t="b">
        <v>1</v>
      </c>
      <c r="F26">
        <f>IMAGE("https://chmeetings.blob.core.windows.net/846969/attachments/zFu5Ye4YuEfPPzx7Tm6w/45aec502-759a-4cc4-ac10-f3507cc30551.jpg")</f>
        <v/>
      </c>
      <c r="G26" t="inlineStr">
        <is>
          <t>Dimitri</t>
        </is>
      </c>
      <c r="H26" t="inlineStr">
        <is>
          <t>Lam</t>
        </is>
      </c>
      <c r="I26" t="inlineStr">
        <is>
          <t>Male</t>
        </is>
      </c>
      <c r="J26" t="n">
        <v>24</v>
      </c>
      <c r="K26" t="inlineStr">
        <is>
          <t>(714) 204-9160</t>
        </is>
      </c>
      <c r="L26" t="inlineStr">
        <is>
          <t>Dimitrilam33@gmail.com</t>
        </is>
      </c>
      <c r="M26" t="inlineStr">
        <is>
          <t>Volleyball</t>
        </is>
      </c>
      <c r="N26" t="inlineStr">
        <is>
          <t>Men</t>
        </is>
      </c>
      <c r="O26" t="inlineStr">
        <is>
          <t>Team</t>
        </is>
      </c>
      <c r="P26" t="inlineStr"/>
      <c r="Q26" t="inlineStr"/>
    </row>
    <row r="27">
      <c r="A27" t="inlineStr">
        <is>
          <t>RPC</t>
        </is>
      </c>
      <c r="B27" t="inlineStr">
        <is>
          <t>4361920</t>
        </is>
      </c>
      <c r="C27" t="inlineStr">
        <is>
          <t>4</t>
        </is>
      </c>
      <c r="D27" t="inlineStr">
        <is>
          <t>pending</t>
        </is>
      </c>
      <c r="E27" t="b">
        <v>1</v>
      </c>
      <c r="F27">
        <f>IMAGE("https://chmeetings.blob.core.windows.net/846969/attachments/zwMnI3u99EOiML1Vo709lQ/e06bce6f-c69c-4e5b-aeb1-11312d8fd0dd.jpg")</f>
        <v/>
      </c>
      <c r="G27" t="inlineStr">
        <is>
          <t>Ayden</t>
        </is>
      </c>
      <c r="H27" t="inlineStr">
        <is>
          <t>Luu</t>
        </is>
      </c>
      <c r="I27" t="inlineStr">
        <is>
          <t>Male</t>
        </is>
      </c>
      <c r="J27" t="n">
        <v>17</v>
      </c>
      <c r="K27" t="inlineStr">
        <is>
          <t>(714) 719-8452</t>
        </is>
      </c>
      <c r="L27" t="inlineStr">
        <is>
          <t>luuayden@gmail.com</t>
        </is>
      </c>
      <c r="M27" t="inlineStr">
        <is>
          <t>Volleyball</t>
        </is>
      </c>
      <c r="N27" t="inlineStr">
        <is>
          <t>Men</t>
        </is>
      </c>
      <c r="O27" t="inlineStr">
        <is>
          <t>Team</t>
        </is>
      </c>
      <c r="P27" t="inlineStr"/>
      <c r="Q27" t="inlineStr"/>
    </row>
    <row r="28">
      <c r="A28" t="inlineStr">
        <is>
          <t>RPC</t>
        </is>
      </c>
      <c r="B28" t="inlineStr">
        <is>
          <t>3318764</t>
        </is>
      </c>
      <c r="C28" t="inlineStr">
        <is>
          <t>9</t>
        </is>
      </c>
      <c r="D28" t="inlineStr">
        <is>
          <t>pending_approval</t>
        </is>
      </c>
      <c r="E28" t="b">
        <v>1</v>
      </c>
      <c r="F28">
        <f>IMAGE("https://chmeetings.blob.core.windows.net/846969/attachments/DoMq9dPmUUu8Q1z673WgQ/e87ffaee-015f-4989-96f9-da9736b2ff43.jpg")</f>
        <v/>
      </c>
      <c r="G28" t="inlineStr">
        <is>
          <t>Johnny</t>
        </is>
      </c>
      <c r="H28" t="inlineStr">
        <is>
          <t>Nguyen</t>
        </is>
      </c>
      <c r="I28" t="inlineStr">
        <is>
          <t>Male</t>
        </is>
      </c>
      <c r="J28" t="n">
        <v>17</v>
      </c>
      <c r="K28" t="inlineStr">
        <is>
          <t>(714) 585-4961</t>
        </is>
      </c>
      <c r="L28" t="inlineStr">
        <is>
          <t>junnynewinn@gmail.com</t>
        </is>
      </c>
      <c r="M28" t="inlineStr">
        <is>
          <t>Volleyball</t>
        </is>
      </c>
      <c r="N28" t="inlineStr">
        <is>
          <t>Men</t>
        </is>
      </c>
      <c r="O28" t="inlineStr">
        <is>
          <t>Team</t>
        </is>
      </c>
      <c r="P28" t="inlineStr"/>
      <c r="Q28" t="inlineStr"/>
    </row>
    <row r="29">
      <c r="A29" t="inlineStr">
        <is>
          <t>RPC</t>
        </is>
      </c>
      <c r="B29" t="inlineStr">
        <is>
          <t>4363694</t>
        </is>
      </c>
      <c r="C29" t="inlineStr">
        <is>
          <t>74</t>
        </is>
      </c>
      <c r="D29" t="inlineStr">
        <is>
          <t>pending</t>
        </is>
      </c>
      <c r="E29" t="b">
        <v>0</v>
      </c>
      <c r="F29">
        <f>IMAGE("https://chmeetings.blob.core.windows.net/846969/attachments/crHhsVMlEkaqRf4RUhCow/d1e5e08d-8777-4bc6-9d04-9b585c7f3def.jpg")</f>
        <v/>
      </c>
      <c r="G29" t="inlineStr">
        <is>
          <t>Garrett</t>
        </is>
      </c>
      <c r="H29" t="inlineStr">
        <is>
          <t>Wong</t>
        </is>
      </c>
      <c r="I29" t="inlineStr">
        <is>
          <t>Male</t>
        </is>
      </c>
      <c r="J29" t="n">
        <v>17</v>
      </c>
      <c r="K29" t="inlineStr">
        <is>
          <t>(714) 824-7164</t>
        </is>
      </c>
      <c r="L29" t="inlineStr">
        <is>
          <t>gdog121107@gmail.com</t>
        </is>
      </c>
      <c r="M29" t="inlineStr">
        <is>
          <t>Volleyball</t>
        </is>
      </c>
      <c r="N29" t="inlineStr">
        <is>
          <t>Men</t>
        </is>
      </c>
      <c r="O29" t="inlineStr">
        <is>
          <t>Team</t>
        </is>
      </c>
      <c r="P29" t="inlineStr"/>
      <c r="Q29" t="inlineStr"/>
    </row>
    <row r="30">
      <c r="A30" t="inlineStr">
        <is>
          <t>RPC</t>
        </is>
      </c>
      <c r="B30" t="inlineStr">
        <is>
          <t>3615935</t>
        </is>
      </c>
      <c r="C30" t="inlineStr">
        <is>
          <t>6</t>
        </is>
      </c>
      <c r="D30" t="inlineStr">
        <is>
          <t>pending_approval</t>
        </is>
      </c>
      <c r="E30" t="b">
        <v>1</v>
      </c>
      <c r="F30">
        <f>IMAGE("https://chmeetings.blob.core.windows.net/846969/attachments/WTqSOpU4yE2opCVCMF2sJQ/637a0ed2-2668-4583-ae97-66dbcfffa078.jpg")</f>
        <v/>
      </c>
      <c r="G30" t="inlineStr">
        <is>
          <t>Emily</t>
        </is>
      </c>
      <c r="H30" t="inlineStr">
        <is>
          <t>Duong</t>
        </is>
      </c>
      <c r="I30" t="inlineStr">
        <is>
          <t>Female</t>
        </is>
      </c>
      <c r="J30" t="n">
        <v>14</v>
      </c>
      <c r="K30" t="inlineStr">
        <is>
          <t>(714) 454-1390</t>
        </is>
      </c>
      <c r="L30" t="inlineStr">
        <is>
          <t>emilyduong411@gmail.com</t>
        </is>
      </c>
      <c r="M30" t="inlineStr">
        <is>
          <t>Volleyball</t>
        </is>
      </c>
      <c r="N30" t="inlineStr">
        <is>
          <t>Women</t>
        </is>
      </c>
      <c r="O30" t="inlineStr">
        <is>
          <t>Team</t>
        </is>
      </c>
      <c r="P30" t="inlineStr"/>
      <c r="Q30" t="inlineStr"/>
    </row>
    <row r="31">
      <c r="A31" t="inlineStr">
        <is>
          <t>RPC</t>
        </is>
      </c>
      <c r="B31" t="inlineStr">
        <is>
          <t>3628891</t>
        </is>
      </c>
      <c r="C31" t="inlineStr">
        <is>
          <t>70</t>
        </is>
      </c>
      <c r="D31" t="inlineStr">
        <is>
          <t>pending</t>
        </is>
      </c>
      <c r="E31" t="b">
        <v>1</v>
      </c>
      <c r="F31">
        <f>IMAGE("https://chmeetings.blob.core.windows.net/846969/attachments/qYsqyoFUWkOaQb5QUBES6g/603d1093-8a12-4fff-ab36-9128541811d0.jpg")</f>
        <v/>
      </c>
      <c r="G31" t="inlineStr">
        <is>
          <t>Aneesa</t>
        </is>
      </c>
      <c r="H31" t="inlineStr">
        <is>
          <t>Le</t>
        </is>
      </c>
      <c r="I31" t="inlineStr">
        <is>
          <t>Female</t>
        </is>
      </c>
      <c r="J31" t="n">
        <v>15</v>
      </c>
      <c r="K31" t="inlineStr">
        <is>
          <t>(562) 350-8879</t>
        </is>
      </c>
      <c r="L31" t="inlineStr">
        <is>
          <t>k10ale27@gmail.com</t>
        </is>
      </c>
      <c r="M31" t="inlineStr">
        <is>
          <t>Volleyball</t>
        </is>
      </c>
      <c r="N31" t="inlineStr">
        <is>
          <t>Women</t>
        </is>
      </c>
      <c r="O31" t="inlineStr">
        <is>
          <t>Team</t>
        </is>
      </c>
      <c r="P31" t="inlineStr"/>
      <c r="Q31" t="inlineStr"/>
    </row>
    <row r="32">
      <c r="A32" t="inlineStr">
        <is>
          <t>RPC</t>
        </is>
      </c>
      <c r="B32" t="inlineStr">
        <is>
          <t>3622254</t>
        </is>
      </c>
      <c r="C32" t="inlineStr">
        <is>
          <t>12</t>
        </is>
      </c>
      <c r="D32" t="inlineStr">
        <is>
          <t>pending</t>
        </is>
      </c>
      <c r="E32" t="b">
        <v>1</v>
      </c>
      <c r="F32">
        <f>IMAGE("https://chmeetings.blob.core.windows.net/846969/attachments/5NJ5RbEedbMYhRHg3aQ/440e3a48-4f2e-43e2-a71d-52fd0fb16bed.jpg")</f>
        <v/>
      </c>
      <c r="G32" t="inlineStr">
        <is>
          <t>Serena</t>
        </is>
      </c>
      <c r="H32" t="inlineStr">
        <is>
          <t>Mai</t>
        </is>
      </c>
      <c r="I32" t="inlineStr">
        <is>
          <t>Female</t>
        </is>
      </c>
      <c r="J32" t="n">
        <v>15</v>
      </c>
      <c r="K32" t="inlineStr">
        <is>
          <t>(714) 873-5541</t>
        </is>
      </c>
      <c r="L32" t="inlineStr">
        <is>
          <t>Serenaquynhnga@gmail.com</t>
        </is>
      </c>
      <c r="M32" t="inlineStr">
        <is>
          <t>Volleyball</t>
        </is>
      </c>
      <c r="N32" t="inlineStr">
        <is>
          <t>Women</t>
        </is>
      </c>
      <c r="O32" t="inlineStr">
        <is>
          <t>Team</t>
        </is>
      </c>
      <c r="P32" t="inlineStr"/>
      <c r="Q32" t="inlineStr"/>
    </row>
    <row r="33">
      <c r="A33" t="inlineStr">
        <is>
          <t>RPC</t>
        </is>
      </c>
      <c r="B33" t="inlineStr">
        <is>
          <t>3631136</t>
        </is>
      </c>
      <c r="C33" t="inlineStr">
        <is>
          <t>71</t>
        </is>
      </c>
      <c r="D33" t="inlineStr">
        <is>
          <t>pending</t>
        </is>
      </c>
      <c r="E33" t="b">
        <v>1</v>
      </c>
      <c r="F33">
        <f>IMAGE("https://chmeetings.blob.core.windows.net/846969/attachments/Iv2VhaKKwkaFaBpP8S2ag/cac9b249-47a7-41a5-867f-c28bdfaebd54.jpg")</f>
        <v/>
      </c>
      <c r="G33" t="inlineStr">
        <is>
          <t>Celine</t>
        </is>
      </c>
      <c r="H33" t="inlineStr">
        <is>
          <t>Nguyen</t>
        </is>
      </c>
      <c r="I33" t="inlineStr">
        <is>
          <t>Female</t>
        </is>
      </c>
      <c r="J33" t="n">
        <v>14</v>
      </c>
      <c r="K33" t="inlineStr">
        <is>
          <t>16573345295</t>
        </is>
      </c>
      <c r="L33" t="inlineStr">
        <is>
          <t>celineng0417@gmail.com</t>
        </is>
      </c>
      <c r="M33" t="inlineStr">
        <is>
          <t>Volleyball</t>
        </is>
      </c>
      <c r="N33" t="inlineStr">
        <is>
          <t>Women</t>
        </is>
      </c>
      <c r="O33" t="inlineStr">
        <is>
          <t>Team</t>
        </is>
      </c>
      <c r="P33" t="inlineStr"/>
      <c r="Q33" t="inlineStr"/>
    </row>
    <row r="34">
      <c r="A34" t="inlineStr">
        <is>
          <t>RPC</t>
        </is>
      </c>
      <c r="B34" t="inlineStr">
        <is>
          <t>3623153</t>
        </is>
      </c>
      <c r="C34" t="inlineStr">
        <is>
          <t>10</t>
        </is>
      </c>
      <c r="D34" t="inlineStr">
        <is>
          <t>pending</t>
        </is>
      </c>
      <c r="E34" t="b">
        <v>1</v>
      </c>
      <c r="F34">
        <f>IMAGE("https://chmeetings.blob.core.windows.net/846969/attachments/uRGnrO7OUSC9u9A8qI6Ew/6d913fcf-92fa-46db-92ed-660ade1d2be9.jpg")</f>
        <v/>
      </c>
      <c r="G34" t="inlineStr">
        <is>
          <t>Julianna</t>
        </is>
      </c>
      <c r="H34" t="inlineStr">
        <is>
          <t>Ramirez</t>
        </is>
      </c>
      <c r="I34" t="inlineStr">
        <is>
          <t>Female</t>
        </is>
      </c>
      <c r="J34" t="n">
        <v>15</v>
      </c>
      <c r="K34" t="inlineStr">
        <is>
          <t>(310) 927-2810</t>
        </is>
      </c>
      <c r="L34" t="inlineStr">
        <is>
          <t>jframirez3911@gmail.com</t>
        </is>
      </c>
      <c r="M34" t="inlineStr">
        <is>
          <t>Volleyball</t>
        </is>
      </c>
      <c r="N34" t="inlineStr">
        <is>
          <t>Women</t>
        </is>
      </c>
      <c r="O34" t="inlineStr">
        <is>
          <t>Team</t>
        </is>
      </c>
      <c r="P34" t="inlineStr"/>
      <c r="Q34" t="inlineStr"/>
    </row>
    <row r="35">
      <c r="A35" t="inlineStr">
        <is>
          <t>RPC</t>
        </is>
      </c>
      <c r="B35" t="inlineStr">
        <is>
          <t>3636092</t>
        </is>
      </c>
      <c r="C35" t="inlineStr">
        <is>
          <t>76</t>
        </is>
      </c>
      <c r="D35" t="inlineStr">
        <is>
          <t>validated</t>
        </is>
      </c>
      <c r="E35" t="b">
        <v>1</v>
      </c>
      <c r="F35">
        <f>IMAGE("https://chmeetings.blob.core.windows.net/846969/attachments/QKmokAHgD0CRoagnLQrkgw/bafd016a-9ab5-4d54-abbf-d878d7795f2a.jpg")</f>
        <v/>
      </c>
      <c r="G35" t="inlineStr">
        <is>
          <t>jennifer</t>
        </is>
      </c>
      <c r="H35" t="inlineStr">
        <is>
          <t>ly</t>
        </is>
      </c>
      <c r="I35" t="inlineStr">
        <is>
          <t>Female</t>
        </is>
      </c>
      <c r="J35" t="n">
        <v>21</v>
      </c>
      <c r="K35" t="inlineStr">
        <is>
          <t>(714) 331-4416</t>
        </is>
      </c>
      <c r="L35" t="inlineStr">
        <is>
          <t>jefferly7899@gmail.com</t>
        </is>
      </c>
      <c r="M35" t="inlineStr">
        <is>
          <t>Volleyball</t>
        </is>
      </c>
      <c r="N35" t="inlineStr">
        <is>
          <t>Women</t>
        </is>
      </c>
      <c r="O35" t="inlineStr">
        <is>
          <t>Team</t>
        </is>
      </c>
      <c r="P35" t="inlineStr"/>
      <c r="Q35" t="inlineStr"/>
    </row>
  </sheetData>
  <autoFilter ref="A1:Q35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6.5" customWidth="1" min="4" max="4"/>
    <col width="8.5" customWidth="1" min="5" max="5"/>
    <col width="50" customWidth="1" min="6" max="6"/>
    <col width="7" customWidth="1" min="7" max="7"/>
    <col width="4" customWidth="1" min="8" max="8"/>
    <col width="9" customWidth="1" min="9" max="9"/>
    <col width="9" customWidth="1" min="10" max="10"/>
    <col width="12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RPC</t>
        </is>
      </c>
      <c r="B2" t="inlineStr">
        <is>
          <t>3631500</t>
        </is>
      </c>
      <c r="C2" t="inlineStr">
        <is>
          <t>3</t>
        </is>
      </c>
      <c r="D2" t="inlineStr">
        <is>
          <t>approved</t>
        </is>
      </c>
      <c r="E2" t="b">
        <v>1</v>
      </c>
      <c r="F2">
        <f>IMAGE("https://chmeetings.blob.core.windows.net/846969/attachments/rifFK8C6ukaBd61Muax2zg/aa81b1ba-79c7-4fa6-95fe-b2e76e624195.jpg")</f>
        <v/>
      </c>
      <c r="G2" t="inlineStr">
        <is>
          <t>Chau Thomas</t>
        </is>
      </c>
      <c r="H2" t="inlineStr">
        <is>
          <t>Male</t>
        </is>
      </c>
      <c r="I2" t="n">
        <v>26</v>
      </c>
      <c r="J2" t="inlineStr">
        <is>
          <t>(626) 616-0320</t>
        </is>
      </c>
      <c r="K2" t="inlineStr">
        <is>
          <t>thomaschau2468@gmail.com</t>
        </is>
      </c>
      <c r="L2" t="inlineStr">
        <is>
          <t>Basketball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  <row r="3">
      <c r="A3" t="inlineStr">
        <is>
          <t>RPC</t>
        </is>
      </c>
      <c r="B3" t="inlineStr">
        <is>
          <t>3139537</t>
        </is>
      </c>
      <c r="C3" t="inlineStr">
        <is>
          <t>1</t>
        </is>
      </c>
      <c r="D3" t="inlineStr">
        <is>
          <t>validated</t>
        </is>
      </c>
      <c r="E3" t="b">
        <v>1</v>
      </c>
      <c r="F3">
        <f>IMAGE("https://chmeetings.blob.core.windows.net/846969/attachments/SnpHAMwrs02Ca3FCo4ZWwQ/d2d98798-711b-4696-8295-52f9363648ed.jpg")</f>
        <v/>
      </c>
      <c r="G3" t="inlineStr">
        <is>
          <t>Ho Timmy</t>
        </is>
      </c>
      <c r="H3" t="inlineStr">
        <is>
          <t>Male</t>
        </is>
      </c>
      <c r="I3" t="n">
        <v>26</v>
      </c>
      <c r="J3" t="inlineStr">
        <is>
          <t>(714) 402-0871</t>
        </is>
      </c>
      <c r="K3" t="inlineStr">
        <is>
          <t>timmyho@gmail.com</t>
        </is>
      </c>
      <c r="L3" t="inlineStr">
        <is>
          <t>Basketball</t>
        </is>
      </c>
      <c r="M3" t="inlineStr">
        <is>
          <t>Mixed</t>
        </is>
      </c>
      <c r="N3" t="inlineStr">
        <is>
          <t>Team</t>
        </is>
      </c>
      <c r="O3" t="inlineStr"/>
      <c r="P3" t="inlineStr"/>
    </row>
    <row r="4">
      <c r="A4" t="inlineStr">
        <is>
          <t>RPC</t>
        </is>
      </c>
      <c r="B4" t="inlineStr">
        <is>
          <t>3618011</t>
        </is>
      </c>
      <c r="C4" t="inlineStr">
        <is>
          <t>5</t>
        </is>
      </c>
      <c r="D4" t="inlineStr">
        <is>
          <t>pending_approval</t>
        </is>
      </c>
      <c r="E4" t="b">
        <v>0</v>
      </c>
      <c r="F4">
        <f>IMAGE("https://chmeetings.blob.core.windows.net/846969/attachments/6OVYqNsD0EIO2D8oWesg/01a47c45-de35-4b60-95bb-c6e2d14b9c31.jpg")</f>
        <v/>
      </c>
      <c r="G4" t="inlineStr">
        <is>
          <t>Kang Daniel</t>
        </is>
      </c>
      <c r="H4" t="inlineStr">
        <is>
          <t>Male</t>
        </is>
      </c>
      <c r="I4" t="n">
        <v>26</v>
      </c>
      <c r="J4" t="inlineStr">
        <is>
          <t>(510) 846-6754</t>
        </is>
      </c>
      <c r="K4" t="inlineStr">
        <is>
          <t>dkang1617@gmail.com</t>
        </is>
      </c>
      <c r="L4" t="inlineStr">
        <is>
          <t>Basketball</t>
        </is>
      </c>
      <c r="M4" t="inlineStr">
        <is>
          <t>Mixed</t>
        </is>
      </c>
      <c r="N4" t="inlineStr">
        <is>
          <t>Team</t>
        </is>
      </c>
      <c r="O4" t="inlineStr"/>
      <c r="P4" t="inlineStr"/>
    </row>
    <row r="5">
      <c r="A5" t="inlineStr">
        <is>
          <t>RPC</t>
        </is>
      </c>
      <c r="B5" t="inlineStr">
        <is>
          <t>3623161</t>
        </is>
      </c>
      <c r="C5" t="inlineStr">
        <is>
          <t>73</t>
        </is>
      </c>
      <c r="D5" t="inlineStr">
        <is>
          <t>validated</t>
        </is>
      </c>
      <c r="E5" t="b">
        <v>1</v>
      </c>
      <c r="F5">
        <f>IMAGE("https://chmeetings.blob.core.windows.net/846969/attachments/zFu5Ye4YuEfPPzx7Tm6w/45aec502-759a-4cc4-ac10-f3507cc30551.jpg")</f>
        <v/>
      </c>
      <c r="G5" t="inlineStr">
        <is>
          <t>Lam Dimitri</t>
        </is>
      </c>
      <c r="H5" t="inlineStr">
        <is>
          <t>Male</t>
        </is>
      </c>
      <c r="I5" t="n">
        <v>24</v>
      </c>
      <c r="J5" t="inlineStr">
        <is>
          <t>(714) 204-9160</t>
        </is>
      </c>
      <c r="K5" t="inlineStr">
        <is>
          <t>Dimitrilam33@gmail.com</t>
        </is>
      </c>
      <c r="L5" t="inlineStr">
        <is>
          <t>Basketball</t>
        </is>
      </c>
      <c r="M5" t="inlineStr">
        <is>
          <t>Mixed</t>
        </is>
      </c>
      <c r="N5" t="inlineStr">
        <is>
          <t>Team</t>
        </is>
      </c>
      <c r="O5" t="inlineStr"/>
      <c r="P5" t="inlineStr"/>
    </row>
    <row r="6">
      <c r="A6" t="inlineStr">
        <is>
          <t>RPC</t>
        </is>
      </c>
      <c r="B6" t="inlineStr">
        <is>
          <t>3618796</t>
        </is>
      </c>
      <c r="C6" t="inlineStr">
        <is>
          <t>7</t>
        </is>
      </c>
      <c r="D6" t="inlineStr">
        <is>
          <t>pending</t>
        </is>
      </c>
      <c r="E6" t="b">
        <v>1</v>
      </c>
      <c r="F6">
        <f>IMAGE("https://chmeetings.blob.core.windows.net/846969/attachments/6phgsjmFklfKzzU3ErQ/5e007272-27f7-4f8f-a466-456aac4cdea1.jpg")</f>
        <v/>
      </c>
      <c r="G6" t="inlineStr">
        <is>
          <t>Le Jacob</t>
        </is>
      </c>
      <c r="H6" t="inlineStr">
        <is>
          <t>Male</t>
        </is>
      </c>
      <c r="I6" t="n">
        <v>16</v>
      </c>
      <c r="J6" t="inlineStr">
        <is>
          <t>(714) 316-9141</t>
        </is>
      </c>
      <c r="K6" t="inlineStr">
        <is>
          <t>jacob.mle21@gmail.com</t>
        </is>
      </c>
      <c r="L6" t="inlineStr">
        <is>
          <t>Basketball</t>
        </is>
      </c>
      <c r="M6" t="inlineStr">
        <is>
          <t>Mixed</t>
        </is>
      </c>
      <c r="N6" t="inlineStr">
        <is>
          <t>Team</t>
        </is>
      </c>
      <c r="O6" t="inlineStr"/>
      <c r="P6" t="inlineStr"/>
    </row>
    <row r="7">
      <c r="A7" t="inlineStr">
        <is>
          <t>RPC</t>
        </is>
      </c>
      <c r="B7" t="inlineStr">
        <is>
          <t>3555636</t>
        </is>
      </c>
      <c r="C7" t="inlineStr">
        <is>
          <t>8</t>
        </is>
      </c>
      <c r="D7" t="inlineStr">
        <is>
          <t>pending_approval</t>
        </is>
      </c>
      <c r="E7" t="b">
        <v>1</v>
      </c>
      <c r="F7">
        <f>IMAGE("https://chmeetings.blob.core.windows.net/846969/attachments/36FhCP1SVUOsQR7N2tJn1w/7ea62dc3-e494-43d3-847e-27ce2f1891cb.jpg")</f>
        <v/>
      </c>
      <c r="G7" t="inlineStr">
        <is>
          <t>Nguyen James</t>
        </is>
      </c>
      <c r="H7" t="inlineStr">
        <is>
          <t>Male</t>
        </is>
      </c>
      <c r="I7" t="n">
        <v>19</v>
      </c>
      <c r="J7" t="inlineStr">
        <is>
          <t>(657) 678-8212</t>
        </is>
      </c>
      <c r="K7" t="inlineStr">
        <is>
          <t>jamesthesplashdog12345678@gmail.com</t>
        </is>
      </c>
      <c r="L7" t="inlineStr">
        <is>
          <t>Basketball</t>
        </is>
      </c>
      <c r="M7" t="inlineStr">
        <is>
          <t>Mixed</t>
        </is>
      </c>
      <c r="N7" t="inlineStr">
        <is>
          <t>Team</t>
        </is>
      </c>
      <c r="O7" t="inlineStr"/>
      <c r="P7" t="inlineStr"/>
    </row>
    <row r="8">
      <c r="A8" t="inlineStr">
        <is>
          <t>RPC</t>
        </is>
      </c>
      <c r="B8" t="inlineStr">
        <is>
          <t>4363698</t>
        </is>
      </c>
      <c r="C8" t="inlineStr">
        <is>
          <t>77</t>
        </is>
      </c>
      <c r="D8" t="inlineStr">
        <is>
          <t>pending</t>
        </is>
      </c>
      <c r="E8" t="b">
        <v>1</v>
      </c>
      <c r="F8">
        <f>IMAGE("https://chmeetings.blob.core.windows.net/846969/attachments/qIYHWe3q8U0gELP4AgMfQ/4133a14e-e156-4df5-b4ec-cabb071ccea9.jpg")</f>
        <v/>
      </c>
      <c r="G8" t="inlineStr">
        <is>
          <t>Phan Thomas</t>
        </is>
      </c>
      <c r="H8" t="inlineStr">
        <is>
          <t>Male</t>
        </is>
      </c>
      <c r="I8" t="n">
        <v>16</v>
      </c>
      <c r="J8" t="inlineStr">
        <is>
          <t>(714) 418-6964</t>
        </is>
      </c>
      <c r="K8" t="inlineStr">
        <is>
          <t>Phantomthomas31@gmail.com</t>
        </is>
      </c>
      <c r="L8" t="inlineStr">
        <is>
          <t>Basketball</t>
        </is>
      </c>
      <c r="M8" t="inlineStr">
        <is>
          <t>Mixed</t>
        </is>
      </c>
      <c r="N8" t="inlineStr">
        <is>
          <t>Team</t>
        </is>
      </c>
      <c r="O8" t="inlineStr"/>
      <c r="P8" t="inlineStr"/>
    </row>
    <row r="9">
      <c r="A9" t="inlineStr">
        <is>
          <t>RPC</t>
        </is>
      </c>
      <c r="B9" t="inlineStr">
        <is>
          <t>3319105</t>
        </is>
      </c>
      <c r="C9" t="inlineStr">
        <is>
          <t>11</t>
        </is>
      </c>
      <c r="D9" t="inlineStr">
        <is>
          <t>validated</t>
        </is>
      </c>
      <c r="E9" t="b">
        <v>1</v>
      </c>
      <c r="F9">
        <f>IMAGE("https://chmeetings.blob.core.windows.net/846969/attachments/bVZcD2bP0St7ybRoDd4Q/2b49c12a-c936-4b98-ab99-8cdef0996409.jpg")</f>
        <v/>
      </c>
      <c r="G9" t="inlineStr">
        <is>
          <t>Quach Khoi</t>
        </is>
      </c>
      <c r="H9" t="inlineStr">
        <is>
          <t>Male</t>
        </is>
      </c>
      <c r="I9" t="n">
        <v>27</v>
      </c>
      <c r="J9" t="inlineStr">
        <is>
          <t>(626) 679-7802</t>
        </is>
      </c>
      <c r="K9" t="inlineStr">
        <is>
          <t>Kquach4706@gmail.com</t>
        </is>
      </c>
      <c r="L9" t="inlineStr">
        <is>
          <t>Basketball</t>
        </is>
      </c>
      <c r="M9" t="inlineStr">
        <is>
          <t>Mixed</t>
        </is>
      </c>
      <c r="N9" t="inlineStr">
        <is>
          <t>Team</t>
        </is>
      </c>
      <c r="O9" t="inlineStr"/>
      <c r="P9" t="inlineStr"/>
    </row>
  </sheetData>
  <autoFilter ref="A1:P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0" customWidth="1" min="4" max="4"/>
    <col width="8.5" customWidth="1" min="5" max="5"/>
    <col width="50" customWidth="1" min="6" max="6"/>
    <col width="7.5" customWidth="1" min="7" max="7"/>
    <col width="5" customWidth="1" min="8" max="8"/>
    <col width="9" customWidth="1" min="9" max="9"/>
    <col width="9" customWidth="1" min="10" max="10"/>
    <col width="13.5" customWidth="1" min="11" max="11"/>
    <col width="9.5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RPC</t>
        </is>
      </c>
      <c r="B2" t="inlineStr">
        <is>
          <t>3615935</t>
        </is>
      </c>
      <c r="C2" t="inlineStr">
        <is>
          <t>6</t>
        </is>
      </c>
      <c r="D2" t="inlineStr">
        <is>
          <t>pending_approval</t>
        </is>
      </c>
      <c r="E2" t="b">
        <v>1</v>
      </c>
      <c r="F2">
        <f>IMAGE("https://chmeetings.blob.core.windows.net/846969/attachments/WTqSOpU4yE2opCVCMF2sJQ/637a0ed2-2668-4583-ae97-66dbcfffa078.jpg")</f>
        <v/>
      </c>
      <c r="G2" t="inlineStr">
        <is>
          <t>Duong Emily</t>
        </is>
      </c>
      <c r="H2" t="inlineStr">
        <is>
          <t>Female</t>
        </is>
      </c>
      <c r="I2" t="n">
        <v>14</v>
      </c>
      <c r="J2" t="inlineStr">
        <is>
          <t>(714) 454-1390</t>
        </is>
      </c>
      <c r="K2" t="inlineStr">
        <is>
          <t>emilyduong411@gmail.com</t>
        </is>
      </c>
      <c r="L2" t="inlineStr">
        <is>
          <t>Bible Challenge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</sheetData>
  <autoFilter ref="A1:P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6.5" customWidth="1" min="7" max="7"/>
    <col width="5" customWidth="1" min="8" max="8"/>
    <col width="9" customWidth="1" min="9" max="9"/>
    <col width="9" customWidth="1" min="10" max="10"/>
    <col width="11" customWidth="1" min="11" max="11"/>
    <col width="7" customWidth="1" min="12" max="12"/>
    <col width="8" customWidth="1" min="13" max="13"/>
    <col width="5.5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RPC</t>
        </is>
      </c>
      <c r="B2" t="inlineStr">
        <is>
          <t>3319022</t>
        </is>
      </c>
      <c r="C2" t="inlineStr">
        <is>
          <t>72</t>
        </is>
      </c>
      <c r="D2" t="inlineStr">
        <is>
          <t>validated</t>
        </is>
      </c>
      <c r="E2" t="b">
        <v>1</v>
      </c>
      <c r="F2">
        <f>IMAGE("https://chmeetings.blob.core.windows.net/846969/attachments/wgs7ZEXaUeEkguHnHo1g/c1df6443-764d-4695-a9b9-0a02dd2360f6.jpg")</f>
        <v/>
      </c>
      <c r="G2" t="inlineStr">
        <is>
          <t>Nguyen Dean</t>
        </is>
      </c>
      <c r="H2" t="inlineStr">
        <is>
          <t>Male</t>
        </is>
      </c>
      <c r="I2" t="n">
        <v>23</v>
      </c>
      <c r="J2" t="inlineStr">
        <is>
          <t>(714) 955-7492</t>
        </is>
      </c>
      <c r="K2" t="inlineStr">
        <is>
          <t>Deanbao3132@gmail.com</t>
        </is>
      </c>
      <c r="L2" t="inlineStr">
        <is>
          <t>Pickleball</t>
        </is>
      </c>
      <c r="M2" t="inlineStr">
        <is>
          <t>Mixed</t>
        </is>
      </c>
      <c r="N2" t="inlineStr">
        <is>
          <t>Doubles</t>
        </is>
      </c>
      <c r="O2" t="inlineStr"/>
      <c r="P2" t="inlineStr">
        <is>
          <t>Janice</t>
        </is>
      </c>
    </row>
    <row r="3">
      <c r="A3" t="inlineStr">
        <is>
          <t>RPC</t>
        </is>
      </c>
      <c r="B3" t="inlineStr">
        <is>
          <t>4363699</t>
        </is>
      </c>
      <c r="C3" t="inlineStr">
        <is>
          <t>75</t>
        </is>
      </c>
      <c r="D3" t="inlineStr">
        <is>
          <t>validated</t>
        </is>
      </c>
      <c r="E3" t="b">
        <v>0</v>
      </c>
      <c r="F3">
        <f>IMAGE("https://chmeetings.blob.core.windows.net/846969/attachments/O0mpFpTI5EuryRbrCKsw/37a73f2c-30f6-4c19-981f-aa31acc8d5a0.jpg")</f>
        <v/>
      </c>
      <c r="G3" t="inlineStr">
        <is>
          <t>Vu Janice</t>
        </is>
      </c>
      <c r="H3" t="inlineStr">
        <is>
          <t>Female</t>
        </is>
      </c>
      <c r="I3" t="n">
        <v>24</v>
      </c>
      <c r="J3" t="inlineStr">
        <is>
          <t>(714) 989-9158</t>
        </is>
      </c>
      <c r="K3" t="inlineStr">
        <is>
          <t>Janvu545@gmail.com</t>
        </is>
      </c>
      <c r="L3" t="inlineStr">
        <is>
          <t>Pickleball</t>
        </is>
      </c>
      <c r="M3" t="inlineStr">
        <is>
          <t>Mixed</t>
        </is>
      </c>
      <c r="N3" t="inlineStr">
        <is>
          <t>Doubles</t>
        </is>
      </c>
      <c r="O3" t="inlineStr"/>
      <c r="P3" t="inlineStr"/>
    </row>
  </sheetData>
  <autoFilter ref="A1:P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7.5" customWidth="1" min="7" max="7"/>
    <col width="4" customWidth="1" min="8" max="8"/>
    <col width="9" customWidth="1" min="9" max="9"/>
    <col width="9" customWidth="1" min="10" max="10"/>
    <col width="13" customWidth="1" min="11" max="11"/>
    <col width="14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RPC</t>
        </is>
      </c>
      <c r="B2" t="inlineStr">
        <is>
          <t>3631500</t>
        </is>
      </c>
      <c r="C2" t="inlineStr">
        <is>
          <t>3</t>
        </is>
      </c>
      <c r="D2" t="inlineStr">
        <is>
          <t>approved</t>
        </is>
      </c>
      <c r="E2" t="b">
        <v>1</v>
      </c>
      <c r="F2">
        <f>IMAGE("https://chmeetings.blob.core.windows.net/846969/attachments/rifFK8C6ukaBd61Muax2zg/aa81b1ba-79c7-4fa6-95fe-b2e76e624195.jpg")</f>
        <v/>
      </c>
      <c r="G2" t="inlineStr">
        <is>
          <t>Chau Thomas</t>
        </is>
      </c>
      <c r="H2" t="inlineStr">
        <is>
          <t>Male</t>
        </is>
      </c>
      <c r="I2" t="n">
        <v>26</v>
      </c>
      <c r="J2" t="inlineStr">
        <is>
          <t>(626) 616-0320</t>
        </is>
      </c>
      <c r="K2" t="inlineStr">
        <is>
          <t>thomaschau2468@gmail.com</t>
        </is>
      </c>
      <c r="L2" t="inlineStr">
        <is>
          <t>Soccer - Coed Exhibition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  <row r="3">
      <c r="A3" t="inlineStr">
        <is>
          <t>RPC</t>
        </is>
      </c>
      <c r="B3" t="inlineStr">
        <is>
          <t>3623161</t>
        </is>
      </c>
      <c r="C3" t="inlineStr">
        <is>
          <t>73</t>
        </is>
      </c>
      <c r="D3" t="inlineStr">
        <is>
          <t>validated</t>
        </is>
      </c>
      <c r="E3" t="b">
        <v>1</v>
      </c>
      <c r="F3">
        <f>IMAGE("https://chmeetings.blob.core.windows.net/846969/attachments/zFu5Ye4YuEfPPzx7Tm6w/45aec502-759a-4cc4-ac10-f3507cc30551.jpg")</f>
        <v/>
      </c>
      <c r="G3" t="inlineStr">
        <is>
          <t>Lam Dimitri</t>
        </is>
      </c>
      <c r="H3" t="inlineStr">
        <is>
          <t>Male</t>
        </is>
      </c>
      <c r="I3" t="n">
        <v>24</v>
      </c>
      <c r="J3" t="inlineStr">
        <is>
          <t>(714) 204-9160</t>
        </is>
      </c>
      <c r="K3" t="inlineStr">
        <is>
          <t>Dimitrilam33@gmail.com</t>
        </is>
      </c>
      <c r="L3" t="inlineStr">
        <is>
          <t>Soccer - Coed Exhibition</t>
        </is>
      </c>
      <c r="M3" t="inlineStr">
        <is>
          <t>Mixed</t>
        </is>
      </c>
      <c r="N3" t="inlineStr">
        <is>
          <t>Team</t>
        </is>
      </c>
      <c r="O3" t="inlineStr"/>
      <c r="P3" t="inlineStr"/>
    </row>
  </sheetData>
  <autoFilter ref="A1:P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6.5" customWidth="1" min="4" max="4"/>
    <col width="8.5" customWidth="1" min="5" max="5"/>
    <col width="50" customWidth="1" min="6" max="6"/>
    <col width="7.5" customWidth="1" min="7" max="7"/>
    <col width="5" customWidth="1" min="8" max="8"/>
    <col width="9" customWidth="1" min="9" max="9"/>
    <col width="9" customWidth="1" min="10" max="10"/>
    <col width="13" customWidth="1" min="11" max="11"/>
    <col width="8" customWidth="1" min="12" max="12"/>
    <col width="8" customWidth="1" min="13" max="13"/>
    <col width="5.5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RPC</t>
        </is>
      </c>
      <c r="B2" t="inlineStr">
        <is>
          <t>3555636</t>
        </is>
      </c>
      <c r="C2" t="inlineStr">
        <is>
          <t>8</t>
        </is>
      </c>
      <c r="D2" t="inlineStr">
        <is>
          <t>pending_approval</t>
        </is>
      </c>
      <c r="E2" t="b">
        <v>1</v>
      </c>
      <c r="F2">
        <f>IMAGE("https://chmeetings.blob.core.windows.net/846969/attachments/36FhCP1SVUOsQR7N2tJn1w/7ea62dc3-e494-43d3-847e-27ce2f1891cb.jpg")</f>
        <v/>
      </c>
      <c r="G2" t="inlineStr">
        <is>
          <t>Nguyen James</t>
        </is>
      </c>
      <c r="H2" t="inlineStr">
        <is>
          <t>Male</t>
        </is>
      </c>
      <c r="I2" t="n">
        <v>19</v>
      </c>
      <c r="J2" t="inlineStr">
        <is>
          <t>(657) 678-8212</t>
        </is>
      </c>
      <c r="K2" t="inlineStr">
        <is>
          <t>jamesthesplashdog12345678@gmail.com</t>
        </is>
      </c>
      <c r="L2" t="inlineStr">
        <is>
          <t>Table Tennis</t>
        </is>
      </c>
      <c r="M2" t="inlineStr">
        <is>
          <t>Men</t>
        </is>
      </c>
      <c r="N2" t="inlineStr">
        <is>
          <t>Singles</t>
        </is>
      </c>
      <c r="O2" t="inlineStr"/>
      <c r="P2" t="inlineStr"/>
    </row>
    <row r="3">
      <c r="A3" t="inlineStr">
        <is>
          <t>RPC</t>
        </is>
      </c>
      <c r="B3" t="inlineStr">
        <is>
          <t>3636092</t>
        </is>
      </c>
      <c r="C3" t="inlineStr">
        <is>
          <t>76</t>
        </is>
      </c>
      <c r="D3" t="inlineStr">
        <is>
          <t>validated</t>
        </is>
      </c>
      <c r="E3" t="b">
        <v>1</v>
      </c>
      <c r="F3">
        <f>IMAGE("https://chmeetings.blob.core.windows.net/846969/attachments/QKmokAHgD0CRoagnLQrkgw/bafd016a-9ab5-4d54-abbf-d878d7795f2a.jpg")</f>
        <v/>
      </c>
      <c r="G3" t="inlineStr">
        <is>
          <t>ly jennifer</t>
        </is>
      </c>
      <c r="H3" t="inlineStr">
        <is>
          <t>Female</t>
        </is>
      </c>
      <c r="I3" t="n">
        <v>21</v>
      </c>
      <c r="J3" t="inlineStr">
        <is>
          <t>(714) 331-4416</t>
        </is>
      </c>
      <c r="K3" t="inlineStr">
        <is>
          <t>jefferly7899@gmail.com</t>
        </is>
      </c>
      <c r="L3" t="inlineStr">
        <is>
          <t>Table Tennis</t>
        </is>
      </c>
      <c r="M3" t="inlineStr">
        <is>
          <t>Women</t>
        </is>
      </c>
      <c r="N3" t="inlineStr">
        <is>
          <t>Singles</t>
        </is>
      </c>
      <c r="O3" t="inlineStr"/>
      <c r="P3" t="inlineStr"/>
    </row>
  </sheetData>
  <autoFilter ref="A1:P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6.5" customWidth="1" min="7" max="7"/>
    <col width="5" customWidth="1" min="8" max="8"/>
    <col width="9" customWidth="1" min="9" max="9"/>
    <col width="9" customWidth="1" min="10" max="10"/>
    <col width="11" customWidth="1" min="11" max="11"/>
    <col width="5" customWidth="1" min="12" max="12"/>
    <col width="8" customWidth="1" min="13" max="13"/>
    <col width="5.5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RPC</t>
        </is>
      </c>
      <c r="B2" t="inlineStr">
        <is>
          <t>3622254</t>
        </is>
      </c>
      <c r="C2" t="inlineStr">
        <is>
          <t>12</t>
        </is>
      </c>
      <c r="D2" t="inlineStr">
        <is>
          <t>pending</t>
        </is>
      </c>
      <c r="E2" t="b">
        <v>1</v>
      </c>
      <c r="F2">
        <f>IMAGE("https://chmeetings.blob.core.windows.net/846969/attachments/5NJ5RbEedbMYhRHg3aQ/440e3a48-4f2e-43e2-a71d-52fd0fb16bed.jpg")</f>
        <v/>
      </c>
      <c r="G2" t="inlineStr">
        <is>
          <t>Mai Serena</t>
        </is>
      </c>
      <c r="H2" t="inlineStr">
        <is>
          <t>Female</t>
        </is>
      </c>
      <c r="I2" t="n">
        <v>15</v>
      </c>
      <c r="J2" t="inlineStr">
        <is>
          <t>(714) 873-5541</t>
        </is>
      </c>
      <c r="K2" t="inlineStr">
        <is>
          <t>Serenaquynhnga@gmail.com</t>
        </is>
      </c>
      <c r="L2" t="inlineStr">
        <is>
          <t>Tennis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  <row r="3">
      <c r="A3" t="inlineStr">
        <is>
          <t>RPC</t>
        </is>
      </c>
      <c r="B3" t="inlineStr">
        <is>
          <t>3319022</t>
        </is>
      </c>
      <c r="C3" t="inlineStr">
        <is>
          <t>72</t>
        </is>
      </c>
      <c r="D3" t="inlineStr">
        <is>
          <t>validated</t>
        </is>
      </c>
      <c r="E3" t="b">
        <v>1</v>
      </c>
      <c r="F3">
        <f>IMAGE("https://chmeetings.blob.core.windows.net/846969/attachments/wgs7ZEXaUeEkguHnHo1g/c1df6443-764d-4695-a9b9-0a02dd2360f6.jpg")</f>
        <v/>
      </c>
      <c r="G3" t="inlineStr">
        <is>
          <t>Nguyen Dean</t>
        </is>
      </c>
      <c r="H3" t="inlineStr">
        <is>
          <t>Male</t>
        </is>
      </c>
      <c r="I3" t="n">
        <v>23</v>
      </c>
      <c r="J3" t="inlineStr">
        <is>
          <t>(714) 955-7492</t>
        </is>
      </c>
      <c r="K3" t="inlineStr">
        <is>
          <t>Deanbao3132@gmail.com</t>
        </is>
      </c>
      <c r="L3" t="inlineStr">
        <is>
          <t>Tennis</t>
        </is>
      </c>
      <c r="M3" t="inlineStr">
        <is>
          <t>Mixed</t>
        </is>
      </c>
      <c r="N3" t="inlineStr">
        <is>
          <t>Doubles</t>
        </is>
      </c>
      <c r="O3" t="inlineStr"/>
      <c r="P3" t="inlineStr">
        <is>
          <t>Janice</t>
        </is>
      </c>
    </row>
    <row r="4">
      <c r="A4" t="inlineStr">
        <is>
          <t>RPC</t>
        </is>
      </c>
      <c r="B4" t="inlineStr">
        <is>
          <t>4363699</t>
        </is>
      </c>
      <c r="C4" t="inlineStr">
        <is>
          <t>75</t>
        </is>
      </c>
      <c r="D4" t="inlineStr">
        <is>
          <t>validated</t>
        </is>
      </c>
      <c r="E4" t="b">
        <v>0</v>
      </c>
      <c r="F4">
        <f>IMAGE("https://chmeetings.blob.core.windows.net/846969/attachments/O0mpFpTI5EuryRbrCKsw/37a73f2c-30f6-4c19-981f-aa31acc8d5a0.jpg")</f>
        <v/>
      </c>
      <c r="G4" t="inlineStr">
        <is>
          <t>Vu Janice</t>
        </is>
      </c>
      <c r="H4" t="inlineStr">
        <is>
          <t>Female</t>
        </is>
      </c>
      <c r="I4" t="n">
        <v>24</v>
      </c>
      <c r="J4" t="inlineStr">
        <is>
          <t>(714) 989-9158</t>
        </is>
      </c>
      <c r="K4" t="inlineStr">
        <is>
          <t>Janvu545@gmail.com</t>
        </is>
      </c>
      <c r="L4" t="inlineStr">
        <is>
          <t>Tennis</t>
        </is>
      </c>
      <c r="M4" t="inlineStr">
        <is>
          <t>Mixed</t>
        </is>
      </c>
      <c r="N4" t="inlineStr">
        <is>
          <t>Doubles</t>
        </is>
      </c>
      <c r="O4" t="inlineStr"/>
      <c r="P4" t="inlineStr"/>
    </row>
  </sheetData>
  <autoFilter ref="A1:P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0" customWidth="1" min="4" max="4"/>
    <col width="8.5" customWidth="1" min="5" max="5"/>
    <col width="50" customWidth="1" min="6" max="6"/>
    <col width="8.5" customWidth="1" min="7" max="7"/>
    <col width="4" customWidth="1" min="8" max="8"/>
    <col width="9" customWidth="1" min="9" max="9"/>
    <col width="9" customWidth="1" min="10" max="10"/>
    <col width="12.5" customWidth="1" min="11" max="11"/>
    <col width="8.5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RPC</t>
        </is>
      </c>
      <c r="B2" t="inlineStr">
        <is>
          <t>3628891</t>
        </is>
      </c>
      <c r="C2" t="inlineStr">
        <is>
          <t>70</t>
        </is>
      </c>
      <c r="D2" t="inlineStr">
        <is>
          <t>pending</t>
        </is>
      </c>
      <c r="E2" t="b">
        <v>1</v>
      </c>
      <c r="F2">
        <f>IMAGE("https://chmeetings.blob.core.windows.net/846969/attachments/qYsqyoFUWkOaQb5QUBES6g/603d1093-8a12-4fff-ab36-9128541811d0.jpg")</f>
        <v/>
      </c>
      <c r="G2" t="inlineStr">
        <is>
          <t>Le Aneesa</t>
        </is>
      </c>
      <c r="H2" t="inlineStr">
        <is>
          <t>Female</t>
        </is>
      </c>
      <c r="I2" t="n">
        <v>15</v>
      </c>
      <c r="J2" t="inlineStr">
        <is>
          <t>(562) 350-8879</t>
        </is>
      </c>
      <c r="K2" t="inlineStr">
        <is>
          <t>k10ale27@gmail.com</t>
        </is>
      </c>
      <c r="L2" t="inlineStr">
        <is>
          <t>Track &amp; Field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  <row r="3">
      <c r="A3" t="inlineStr">
        <is>
          <t>RPC</t>
        </is>
      </c>
      <c r="B3" t="inlineStr">
        <is>
          <t>3618796</t>
        </is>
      </c>
      <c r="C3" t="inlineStr">
        <is>
          <t>7</t>
        </is>
      </c>
      <c r="D3" t="inlineStr">
        <is>
          <t>pending</t>
        </is>
      </c>
      <c r="E3" t="b">
        <v>1</v>
      </c>
      <c r="F3">
        <f>IMAGE("https://chmeetings.blob.core.windows.net/846969/attachments/6phgsjmFklfKzzU3ErQ/5e007272-27f7-4f8f-a466-456aac4cdea1.jpg")</f>
        <v/>
      </c>
      <c r="G3" t="inlineStr">
        <is>
          <t>Le Jacob</t>
        </is>
      </c>
      <c r="H3" t="inlineStr">
        <is>
          <t>Male</t>
        </is>
      </c>
      <c r="I3" t="n">
        <v>16</v>
      </c>
      <c r="J3" t="inlineStr">
        <is>
          <t>(714) 316-9141</t>
        </is>
      </c>
      <c r="K3" t="inlineStr">
        <is>
          <t>jacob.mle21@gmail.com</t>
        </is>
      </c>
      <c r="L3" t="inlineStr">
        <is>
          <t>Track &amp; Field</t>
        </is>
      </c>
      <c r="M3" t="inlineStr">
        <is>
          <t>Mixed</t>
        </is>
      </c>
      <c r="N3" t="inlineStr">
        <is>
          <t>Team</t>
        </is>
      </c>
      <c r="O3" t="inlineStr"/>
      <c r="P3" t="inlineStr"/>
    </row>
    <row r="4">
      <c r="A4" t="inlineStr">
        <is>
          <t>RPC</t>
        </is>
      </c>
      <c r="B4" t="inlineStr">
        <is>
          <t>3318927</t>
        </is>
      </c>
      <c r="C4" t="inlineStr">
        <is>
          <t>2</t>
        </is>
      </c>
      <c r="D4" t="inlineStr">
        <is>
          <t>pending_approval</t>
        </is>
      </c>
      <c r="E4" t="b">
        <v>1</v>
      </c>
      <c r="F4">
        <f>IMAGE("https://chmeetings.blob.core.windows.net/846969/attachments/Uf6oqihlIUGVO0UxdqT5Ow/6463a74d-f560-4dd7-950a-48411d288e1b.jpg")</f>
        <v/>
      </c>
      <c r="G4" t="inlineStr">
        <is>
          <t>Le Sam</t>
        </is>
      </c>
      <c r="H4" t="inlineStr">
        <is>
          <t>Male</t>
        </is>
      </c>
      <c r="I4" t="n">
        <v>32</v>
      </c>
      <c r="J4" t="inlineStr">
        <is>
          <t>(562) 519-9430</t>
        </is>
      </c>
      <c r="K4" t="inlineStr">
        <is>
          <t>samuel93le@yahoo.com</t>
        </is>
      </c>
      <c r="L4" t="inlineStr">
        <is>
          <t>Track &amp; Field</t>
        </is>
      </c>
      <c r="M4" t="inlineStr">
        <is>
          <t>Mixed</t>
        </is>
      </c>
      <c r="N4" t="inlineStr">
        <is>
          <t>Team</t>
        </is>
      </c>
      <c r="O4" t="inlineStr"/>
      <c r="P4" t="inlineStr"/>
    </row>
    <row r="5">
      <c r="A5" t="inlineStr">
        <is>
          <t>RPC</t>
        </is>
      </c>
      <c r="B5" t="inlineStr">
        <is>
          <t>3318764</t>
        </is>
      </c>
      <c r="C5" t="inlineStr">
        <is>
          <t>9</t>
        </is>
      </c>
      <c r="D5" t="inlineStr">
        <is>
          <t>pending_approval</t>
        </is>
      </c>
      <c r="E5" t="b">
        <v>1</v>
      </c>
      <c r="F5">
        <f>IMAGE("https://chmeetings.blob.core.windows.net/846969/attachments/DoMq9dPmUUu8Q1z673WgQ/e87ffaee-015f-4989-96f9-da9736b2ff43.jpg")</f>
        <v/>
      </c>
      <c r="G5" t="inlineStr">
        <is>
          <t>Nguyen Johnny</t>
        </is>
      </c>
      <c r="H5" t="inlineStr">
        <is>
          <t>Male</t>
        </is>
      </c>
      <c r="I5" t="n">
        <v>17</v>
      </c>
      <c r="J5" t="inlineStr">
        <is>
          <t>(714) 585-4961</t>
        </is>
      </c>
      <c r="K5" t="inlineStr">
        <is>
          <t>junnynewinn@gmail.com</t>
        </is>
      </c>
      <c r="L5" t="inlineStr">
        <is>
          <t>Track &amp; Field</t>
        </is>
      </c>
      <c r="M5" t="inlineStr">
        <is>
          <t>Mixed</t>
        </is>
      </c>
      <c r="N5" t="inlineStr">
        <is>
          <t>Team</t>
        </is>
      </c>
      <c r="O5" t="inlineStr"/>
      <c r="P5" t="inlineStr"/>
    </row>
  </sheetData>
  <autoFilter ref="A1:P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0" customWidth="1" min="4" max="4"/>
    <col width="8.5" customWidth="1" min="5" max="5"/>
    <col width="50" customWidth="1" min="6" max="6"/>
    <col width="8" customWidth="1" min="7" max="7"/>
    <col width="4" customWidth="1" min="8" max="8"/>
    <col width="9" customWidth="1" min="9" max="9"/>
    <col width="9" customWidth="1" min="10" max="10"/>
    <col width="12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RPC</t>
        </is>
      </c>
      <c r="B2" t="inlineStr">
        <is>
          <t>3139537</t>
        </is>
      </c>
      <c r="C2" t="inlineStr">
        <is>
          <t>1</t>
        </is>
      </c>
      <c r="D2" t="inlineStr">
        <is>
          <t>validated</t>
        </is>
      </c>
      <c r="E2" t="b">
        <v>1</v>
      </c>
      <c r="F2">
        <f>IMAGE("https://chmeetings.blob.core.windows.net/846969/attachments/SnpHAMwrs02Ca3FCo4ZWwQ/d2d98798-711b-4696-8295-52f9363648ed.jpg")</f>
        <v/>
      </c>
      <c r="G2" t="inlineStr">
        <is>
          <t>Ho Timmy</t>
        </is>
      </c>
      <c r="H2" t="inlineStr">
        <is>
          <t>Male</t>
        </is>
      </c>
      <c r="I2" t="n">
        <v>26</v>
      </c>
      <c r="J2" t="inlineStr">
        <is>
          <t>(714) 402-0871</t>
        </is>
      </c>
      <c r="K2" t="inlineStr">
        <is>
          <t>timmyho@gmail.com</t>
        </is>
      </c>
      <c r="L2" t="inlineStr">
        <is>
          <t>Volleyball</t>
        </is>
      </c>
      <c r="M2" t="inlineStr">
        <is>
          <t>Men</t>
        </is>
      </c>
      <c r="N2" t="inlineStr">
        <is>
          <t>Team</t>
        </is>
      </c>
      <c r="O2" t="inlineStr"/>
      <c r="P2" t="inlineStr"/>
    </row>
    <row r="3">
      <c r="A3" t="inlineStr">
        <is>
          <t>RPC</t>
        </is>
      </c>
      <c r="B3" t="inlineStr">
        <is>
          <t>3618011</t>
        </is>
      </c>
      <c r="C3" t="inlineStr">
        <is>
          <t>5</t>
        </is>
      </c>
      <c r="D3" t="inlineStr">
        <is>
          <t>pending_approval</t>
        </is>
      </c>
      <c r="E3" t="b">
        <v>0</v>
      </c>
      <c r="F3">
        <f>IMAGE("https://chmeetings.blob.core.windows.net/846969/attachments/6OVYqNsD0EIO2D8oWesg/01a47c45-de35-4b60-95bb-c6e2d14b9c31.jpg")</f>
        <v/>
      </c>
      <c r="G3" t="inlineStr">
        <is>
          <t>Kang Daniel</t>
        </is>
      </c>
      <c r="H3" t="inlineStr">
        <is>
          <t>Male</t>
        </is>
      </c>
      <c r="I3" t="n">
        <v>26</v>
      </c>
      <c r="J3" t="inlineStr">
        <is>
          <t>(510) 846-6754</t>
        </is>
      </c>
      <c r="K3" t="inlineStr">
        <is>
          <t>dkang1617@gmail.com</t>
        </is>
      </c>
      <c r="L3" t="inlineStr">
        <is>
          <t>Volleyball</t>
        </is>
      </c>
      <c r="M3" t="inlineStr">
        <is>
          <t>Men</t>
        </is>
      </c>
      <c r="N3" t="inlineStr">
        <is>
          <t>Team</t>
        </is>
      </c>
      <c r="O3" t="inlineStr"/>
      <c r="P3" t="inlineStr"/>
    </row>
    <row r="4">
      <c r="A4" t="inlineStr">
        <is>
          <t>RPC</t>
        </is>
      </c>
      <c r="B4" t="inlineStr">
        <is>
          <t>3623161</t>
        </is>
      </c>
      <c r="C4" t="inlineStr">
        <is>
          <t>73</t>
        </is>
      </c>
      <c r="D4" t="inlineStr">
        <is>
          <t>validated</t>
        </is>
      </c>
      <c r="E4" t="b">
        <v>1</v>
      </c>
      <c r="F4">
        <f>IMAGE("https://chmeetings.blob.core.windows.net/846969/attachments/zFu5Ye4YuEfPPzx7Tm6w/45aec502-759a-4cc4-ac10-f3507cc30551.jpg")</f>
        <v/>
      </c>
      <c r="G4" t="inlineStr">
        <is>
          <t>Lam Dimitri</t>
        </is>
      </c>
      <c r="H4" t="inlineStr">
        <is>
          <t>Male</t>
        </is>
      </c>
      <c r="I4" t="n">
        <v>24</v>
      </c>
      <c r="J4" t="inlineStr">
        <is>
          <t>(714) 204-9160</t>
        </is>
      </c>
      <c r="K4" t="inlineStr">
        <is>
          <t>Dimitrilam33@gmail.com</t>
        </is>
      </c>
      <c r="L4" t="inlineStr">
        <is>
          <t>Volleyball</t>
        </is>
      </c>
      <c r="M4" t="inlineStr">
        <is>
          <t>Men</t>
        </is>
      </c>
      <c r="N4" t="inlineStr">
        <is>
          <t>Team</t>
        </is>
      </c>
      <c r="O4" t="inlineStr"/>
      <c r="P4" t="inlineStr"/>
    </row>
    <row r="5">
      <c r="A5" t="inlineStr">
        <is>
          <t>RPC</t>
        </is>
      </c>
      <c r="B5" t="inlineStr">
        <is>
          <t>4361920</t>
        </is>
      </c>
      <c r="C5" t="inlineStr">
        <is>
          <t>4</t>
        </is>
      </c>
      <c r="D5" t="inlineStr">
        <is>
          <t>pending</t>
        </is>
      </c>
      <c r="E5" t="b">
        <v>1</v>
      </c>
      <c r="F5">
        <f>IMAGE("https://chmeetings.blob.core.windows.net/846969/attachments/zwMnI3u99EOiML1Vo709lQ/e06bce6f-c69c-4e5b-aeb1-11312d8fd0dd.jpg")</f>
        <v/>
      </c>
      <c r="G5" t="inlineStr">
        <is>
          <t>Luu Ayden</t>
        </is>
      </c>
      <c r="H5" t="inlineStr">
        <is>
          <t>Male</t>
        </is>
      </c>
      <c r="I5" t="n">
        <v>17</v>
      </c>
      <c r="J5" t="inlineStr">
        <is>
          <t>(714) 719-8452</t>
        </is>
      </c>
      <c r="K5" t="inlineStr">
        <is>
          <t>luuayden@gmail.com</t>
        </is>
      </c>
      <c r="L5" t="inlineStr">
        <is>
          <t>Volleyball</t>
        </is>
      </c>
      <c r="M5" t="inlineStr">
        <is>
          <t>Men</t>
        </is>
      </c>
      <c r="N5" t="inlineStr">
        <is>
          <t>Team</t>
        </is>
      </c>
      <c r="O5" t="inlineStr"/>
      <c r="P5" t="inlineStr"/>
    </row>
    <row r="6">
      <c r="A6" t="inlineStr">
        <is>
          <t>RPC</t>
        </is>
      </c>
      <c r="B6" t="inlineStr">
        <is>
          <t>3318764</t>
        </is>
      </c>
      <c r="C6" t="inlineStr">
        <is>
          <t>9</t>
        </is>
      </c>
      <c r="D6" t="inlineStr">
        <is>
          <t>pending_approval</t>
        </is>
      </c>
      <c r="E6" t="b">
        <v>1</v>
      </c>
      <c r="F6">
        <f>IMAGE("https://chmeetings.blob.core.windows.net/846969/attachments/DoMq9dPmUUu8Q1z673WgQ/e87ffaee-015f-4989-96f9-da9736b2ff43.jpg")</f>
        <v/>
      </c>
      <c r="G6" t="inlineStr">
        <is>
          <t>Nguyen Johnny</t>
        </is>
      </c>
      <c r="H6" t="inlineStr">
        <is>
          <t>Male</t>
        </is>
      </c>
      <c r="I6" t="n">
        <v>17</v>
      </c>
      <c r="J6" t="inlineStr">
        <is>
          <t>(714) 585-4961</t>
        </is>
      </c>
      <c r="K6" t="inlineStr">
        <is>
          <t>junnynewinn@gmail.com</t>
        </is>
      </c>
      <c r="L6" t="inlineStr">
        <is>
          <t>Volleyball</t>
        </is>
      </c>
      <c r="M6" t="inlineStr">
        <is>
          <t>Men</t>
        </is>
      </c>
      <c r="N6" t="inlineStr">
        <is>
          <t>Team</t>
        </is>
      </c>
      <c r="O6" t="inlineStr"/>
      <c r="P6" t="inlineStr"/>
    </row>
    <row r="7">
      <c r="A7" t="inlineStr">
        <is>
          <t>RPC</t>
        </is>
      </c>
      <c r="B7" t="inlineStr">
        <is>
          <t>4363694</t>
        </is>
      </c>
      <c r="C7" t="inlineStr">
        <is>
          <t>74</t>
        </is>
      </c>
      <c r="D7" t="inlineStr">
        <is>
          <t>pending</t>
        </is>
      </c>
      <c r="E7" t="b">
        <v>0</v>
      </c>
      <c r="F7">
        <f>IMAGE("https://chmeetings.blob.core.windows.net/846969/attachments/crHhsVMlEkaqRf4RUhCow/d1e5e08d-8777-4bc6-9d04-9b585c7f3def.jpg")</f>
        <v/>
      </c>
      <c r="G7" t="inlineStr">
        <is>
          <t>Wong Garrett</t>
        </is>
      </c>
      <c r="H7" t="inlineStr">
        <is>
          <t>Male</t>
        </is>
      </c>
      <c r="I7" t="n">
        <v>17</v>
      </c>
      <c r="J7" t="inlineStr">
        <is>
          <t>(714) 824-7164</t>
        </is>
      </c>
      <c r="K7" t="inlineStr">
        <is>
          <t>gdog121107@gmail.com</t>
        </is>
      </c>
      <c r="L7" t="inlineStr">
        <is>
          <t>Volleyball</t>
        </is>
      </c>
      <c r="M7" t="inlineStr">
        <is>
          <t>Men</t>
        </is>
      </c>
      <c r="N7" t="inlineStr">
        <is>
          <t>Team</t>
        </is>
      </c>
      <c r="O7" t="inlineStr"/>
      <c r="P7" t="inlineStr"/>
    </row>
  </sheetData>
  <autoFilter ref="A1:P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6.5" customWidth="1" min="4" max="4"/>
    <col width="8.5" customWidth="1" min="5" max="5"/>
    <col width="50" customWidth="1" min="6" max="6"/>
    <col width="7.5" customWidth="1" min="7" max="7"/>
    <col width="5" customWidth="1" min="8" max="8"/>
    <col width="9" customWidth="1" min="9" max="9"/>
    <col width="9" customWidth="1" min="10" max="10"/>
    <col width="13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RPC</t>
        </is>
      </c>
      <c r="B2" t="inlineStr">
        <is>
          <t>3615935</t>
        </is>
      </c>
      <c r="C2" t="inlineStr">
        <is>
          <t>6</t>
        </is>
      </c>
      <c r="D2" t="inlineStr">
        <is>
          <t>pending_approval</t>
        </is>
      </c>
      <c r="E2" t="b">
        <v>1</v>
      </c>
      <c r="F2">
        <f>IMAGE("https://chmeetings.blob.core.windows.net/846969/attachments/WTqSOpU4yE2opCVCMF2sJQ/637a0ed2-2668-4583-ae97-66dbcfffa078.jpg")</f>
        <v/>
      </c>
      <c r="G2" t="inlineStr">
        <is>
          <t>Duong Emily</t>
        </is>
      </c>
      <c r="H2" t="inlineStr">
        <is>
          <t>Female</t>
        </is>
      </c>
      <c r="I2" t="n">
        <v>14</v>
      </c>
      <c r="J2" t="inlineStr">
        <is>
          <t>(714) 454-1390</t>
        </is>
      </c>
      <c r="K2" t="inlineStr">
        <is>
          <t>emilyduong411@gmail.com</t>
        </is>
      </c>
      <c r="L2" t="inlineStr">
        <is>
          <t>Volleyball</t>
        </is>
      </c>
      <c r="M2" t="inlineStr">
        <is>
          <t>Women</t>
        </is>
      </c>
      <c r="N2" t="inlineStr">
        <is>
          <t>Team</t>
        </is>
      </c>
      <c r="O2" t="inlineStr"/>
      <c r="P2" t="inlineStr"/>
    </row>
    <row r="3">
      <c r="A3" t="inlineStr">
        <is>
          <t>RPC</t>
        </is>
      </c>
      <c r="B3" t="inlineStr">
        <is>
          <t>3628891</t>
        </is>
      </c>
      <c r="C3" t="inlineStr">
        <is>
          <t>70</t>
        </is>
      </c>
      <c r="D3" t="inlineStr">
        <is>
          <t>pending</t>
        </is>
      </c>
      <c r="E3" t="b">
        <v>1</v>
      </c>
      <c r="F3">
        <f>IMAGE("https://chmeetings.blob.core.windows.net/846969/attachments/qYsqyoFUWkOaQb5QUBES6g/603d1093-8a12-4fff-ab36-9128541811d0.jpg")</f>
        <v/>
      </c>
      <c r="G3" t="inlineStr">
        <is>
          <t>Le Aneesa</t>
        </is>
      </c>
      <c r="H3" t="inlineStr">
        <is>
          <t>Female</t>
        </is>
      </c>
      <c r="I3" t="n">
        <v>15</v>
      </c>
      <c r="J3" t="inlineStr">
        <is>
          <t>(562) 350-8879</t>
        </is>
      </c>
      <c r="K3" t="inlineStr">
        <is>
          <t>k10ale27@gmail.com</t>
        </is>
      </c>
      <c r="L3" t="inlineStr">
        <is>
          <t>Volleyball</t>
        </is>
      </c>
      <c r="M3" t="inlineStr">
        <is>
          <t>Women</t>
        </is>
      </c>
      <c r="N3" t="inlineStr">
        <is>
          <t>Team</t>
        </is>
      </c>
      <c r="O3" t="inlineStr"/>
      <c r="P3" t="inlineStr"/>
    </row>
    <row r="4">
      <c r="A4" t="inlineStr">
        <is>
          <t>RPC</t>
        </is>
      </c>
      <c r="B4" t="inlineStr">
        <is>
          <t>3622254</t>
        </is>
      </c>
      <c r="C4" t="inlineStr">
        <is>
          <t>12</t>
        </is>
      </c>
      <c r="D4" t="inlineStr">
        <is>
          <t>pending</t>
        </is>
      </c>
      <c r="E4" t="b">
        <v>1</v>
      </c>
      <c r="F4">
        <f>IMAGE("https://chmeetings.blob.core.windows.net/846969/attachments/5NJ5RbEedbMYhRHg3aQ/440e3a48-4f2e-43e2-a71d-52fd0fb16bed.jpg")</f>
        <v/>
      </c>
      <c r="G4" t="inlineStr">
        <is>
          <t>Mai Serena</t>
        </is>
      </c>
      <c r="H4" t="inlineStr">
        <is>
          <t>Female</t>
        </is>
      </c>
      <c r="I4" t="n">
        <v>15</v>
      </c>
      <c r="J4" t="inlineStr">
        <is>
          <t>(714) 873-5541</t>
        </is>
      </c>
      <c r="K4" t="inlineStr">
        <is>
          <t>Serenaquynhnga@gmail.com</t>
        </is>
      </c>
      <c r="L4" t="inlineStr">
        <is>
          <t>Volleyball</t>
        </is>
      </c>
      <c r="M4" t="inlineStr">
        <is>
          <t>Women</t>
        </is>
      </c>
      <c r="N4" t="inlineStr">
        <is>
          <t>Team</t>
        </is>
      </c>
      <c r="O4" t="inlineStr"/>
      <c r="P4" t="inlineStr"/>
    </row>
    <row r="5">
      <c r="A5" t="inlineStr">
        <is>
          <t>RPC</t>
        </is>
      </c>
      <c r="B5" t="inlineStr">
        <is>
          <t>3631136</t>
        </is>
      </c>
      <c r="C5" t="inlineStr">
        <is>
          <t>71</t>
        </is>
      </c>
      <c r="D5" t="inlineStr">
        <is>
          <t>pending</t>
        </is>
      </c>
      <c r="E5" t="b">
        <v>1</v>
      </c>
      <c r="F5">
        <f>IMAGE("https://chmeetings.blob.core.windows.net/846969/attachments/Iv2VhaKKwkaFaBpP8S2ag/cac9b249-47a7-41a5-867f-c28bdfaebd54.jpg")</f>
        <v/>
      </c>
      <c r="G5" t="inlineStr">
        <is>
          <t>Nguyen Celine</t>
        </is>
      </c>
      <c r="H5" t="inlineStr">
        <is>
          <t>Female</t>
        </is>
      </c>
      <c r="I5" t="n">
        <v>14</v>
      </c>
      <c r="J5" t="inlineStr">
        <is>
          <t>16573345295</t>
        </is>
      </c>
      <c r="K5" t="inlineStr">
        <is>
          <t>celineng0417@gmail.com</t>
        </is>
      </c>
      <c r="L5" t="inlineStr">
        <is>
          <t>Volleyball</t>
        </is>
      </c>
      <c r="M5" t="inlineStr">
        <is>
          <t>Women</t>
        </is>
      </c>
      <c r="N5" t="inlineStr">
        <is>
          <t>Team</t>
        </is>
      </c>
      <c r="O5" t="inlineStr"/>
      <c r="P5" t="inlineStr"/>
    </row>
    <row r="6">
      <c r="A6" t="inlineStr">
        <is>
          <t>RPC</t>
        </is>
      </c>
      <c r="B6" t="inlineStr">
        <is>
          <t>3623153</t>
        </is>
      </c>
      <c r="C6" t="inlineStr">
        <is>
          <t>10</t>
        </is>
      </c>
      <c r="D6" t="inlineStr">
        <is>
          <t>pending</t>
        </is>
      </c>
      <c r="E6" t="b">
        <v>1</v>
      </c>
      <c r="F6">
        <f>IMAGE("https://chmeetings.blob.core.windows.net/846969/attachments/uRGnrO7OUSC9u9A8qI6Ew/6d913fcf-92fa-46db-92ed-660ade1d2be9.jpg")</f>
        <v/>
      </c>
      <c r="G6" t="inlineStr">
        <is>
          <t>Ramirez Julianna</t>
        </is>
      </c>
      <c r="H6" t="inlineStr">
        <is>
          <t>Female</t>
        </is>
      </c>
      <c r="I6" t="n">
        <v>15</v>
      </c>
      <c r="J6" t="inlineStr">
        <is>
          <t>(310) 927-2810</t>
        </is>
      </c>
      <c r="K6" t="inlineStr">
        <is>
          <t>jframirez3911@gmail.com</t>
        </is>
      </c>
      <c r="L6" t="inlineStr">
        <is>
          <t>Volleyball</t>
        </is>
      </c>
      <c r="M6" t="inlineStr">
        <is>
          <t>Women</t>
        </is>
      </c>
      <c r="N6" t="inlineStr">
        <is>
          <t>Team</t>
        </is>
      </c>
      <c r="O6" t="inlineStr"/>
      <c r="P6" t="inlineStr"/>
    </row>
    <row r="7">
      <c r="A7" t="inlineStr">
        <is>
          <t>RPC</t>
        </is>
      </c>
      <c r="B7" t="inlineStr">
        <is>
          <t>3636092</t>
        </is>
      </c>
      <c r="C7" t="inlineStr">
        <is>
          <t>76</t>
        </is>
      </c>
      <c r="D7" t="inlineStr">
        <is>
          <t>validated</t>
        </is>
      </c>
      <c r="E7" t="b">
        <v>1</v>
      </c>
      <c r="F7">
        <f>IMAGE("https://chmeetings.blob.core.windows.net/846969/attachments/QKmokAHgD0CRoagnLQrkgw/bafd016a-9ab5-4d54-abbf-d878d7795f2a.jpg")</f>
        <v/>
      </c>
      <c r="G7" t="inlineStr">
        <is>
          <t>ly jennifer</t>
        </is>
      </c>
      <c r="H7" t="inlineStr">
        <is>
          <t>Female</t>
        </is>
      </c>
      <c r="I7" t="n">
        <v>21</v>
      </c>
      <c r="J7" t="inlineStr">
        <is>
          <t>(714) 331-4416</t>
        </is>
      </c>
      <c r="K7" t="inlineStr">
        <is>
          <t>jefferly7899@gmail.com</t>
        </is>
      </c>
      <c r="L7" t="inlineStr">
        <is>
          <t>Volleyball</t>
        </is>
      </c>
      <c r="M7" t="inlineStr">
        <is>
          <t>Women</t>
        </is>
      </c>
      <c r="N7" t="inlineStr">
        <is>
          <t>Team</t>
        </is>
      </c>
      <c r="O7" t="inlineStr"/>
      <c r="P7" t="inlineStr"/>
    </row>
  </sheetData>
  <autoFilter ref="A1:P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2026-05-04T14:05:29Z</dcterms:created>
  <dcterms:modified xmlns:dcterms="http://purl.org/dc/terms/" xmlns:xsi="http://www.w3.org/2001/XMLSchema-instance" xsi:type="dcterms:W3CDTF">2026-05-04T14:05:29Z</dcterms:modified>
</cp:coreProperties>
</file>