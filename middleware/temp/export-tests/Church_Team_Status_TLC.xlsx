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dminton" sheetId="4" state="visible" r:id="rId4"/>
    <sheet xmlns:r="http://schemas.openxmlformats.org/officeDocument/2006/relationships" name="Bible Challenge" sheetId="5" state="visible" r:id="rId5"/>
    <sheet xmlns:r="http://schemas.openxmlformats.org/officeDocument/2006/relationships" name="Scripture Memorization" sheetId="6" state="visible" r:id="rId6"/>
    <sheet xmlns:r="http://schemas.openxmlformats.org/officeDocument/2006/relationships" name="Soccer - Coed Exhibition" sheetId="7" state="visible" r:id="rId7"/>
    <sheet xmlns:r="http://schemas.openxmlformats.org/officeDocument/2006/relationships" name="Track  Field" sheetId="8" state="visible" r:id="rId8"/>
    <sheet xmlns:r="http://schemas.openxmlformats.org/officeDocument/2006/relationships" name="Tug-of-war" sheetId="9" state="visible" r:id="rId9"/>
  </sheets>
  <definedNames>
    <definedName name="_xlnm._FilterDatabase" localSheetId="0" hidden="1">'Summary'!$A$1:$H$2</definedName>
    <definedName name="_xlnm._FilterDatabase" localSheetId="1" hidden="1">'Contacts-Status'!$A$1:$W$9</definedName>
    <definedName name="_xlnm._FilterDatabase" localSheetId="2" hidden="1">'Roster'!$A$1:$Q$14</definedName>
    <definedName name="_xlnm._FilterDatabase" localSheetId="3" hidden="1">'Badminton'!$A$1:$P$6</definedName>
    <definedName name="_xlnm._FilterDatabase" localSheetId="4" hidden="1">'Bible Challenge'!$A$1:$P$4</definedName>
    <definedName name="_xlnm._FilterDatabase" localSheetId="5" hidden="1">'Scripture Memorization'!$A$1:$P$3</definedName>
    <definedName name="_xlnm._FilterDatabase" localSheetId="6" hidden="1">'Soccer - Coed Exhibition'!$A$1:$P$2</definedName>
    <definedName name="_xlnm._FilterDatabase" localSheetId="7" hidden="1">'Track  Field'!$A$1:$P$2</definedName>
    <definedName name="_xlnm._FilterDatabase" localSheetId="8" hidden="1">'Tug-of-war'!$A$1:$P$2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TLC</t>
        </is>
      </c>
      <c r="B2" t="n">
        <v>8</v>
      </c>
      <c r="C2" t="n">
        <v>8</v>
      </c>
      <c r="D2" t="n">
        <v>0</v>
      </c>
      <c r="E2" t="n">
        <v>8</v>
      </c>
      <c r="F2" t="n">
        <v>0</v>
      </c>
      <c r="G2" t="n">
        <v>1</v>
      </c>
      <c r="H2" t="inlineStr">
        <is>
          <t>2026-05-03 04:38:59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5" customWidth="1" min="3" max="3"/>
    <col width="5" customWidth="1" min="4" max="4"/>
    <col width="9" customWidth="1" min="5" max="5"/>
    <col width="8.5" customWidth="1" min="6" max="6"/>
    <col width="11.5" customWidth="1" min="7" max="7"/>
    <col width="6.5" customWidth="1" min="8" max="8"/>
    <col width="13" customWidth="1" min="9" max="9"/>
    <col width="4" customWidth="1" min="10" max="10"/>
    <col width="7" customWidth="1" min="11" max="11"/>
    <col width="9" customWidth="1" min="12" max="12"/>
    <col width="9" customWidth="1" min="13" max="13"/>
    <col width="13.5" customWidth="1" min="14" max="14"/>
    <col width="23.5" customWidth="1" min="15" max="15"/>
    <col width="21" customWidth="1" min="16" max="16"/>
    <col width="22.5" customWidth="1" min="17" max="17"/>
    <col width="26.5" customWidth="1" min="18" max="18"/>
    <col width="21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TLC</t>
        </is>
      </c>
      <c r="B2" t="inlineStr">
        <is>
          <t>4361932</t>
        </is>
      </c>
      <c r="C2" t="inlineStr">
        <is>
          <t>Michelle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inlineStr">
        <is>
          <t>29</t>
        </is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2013-03-15</t>
        </is>
      </c>
      <c r="L2" t="n">
        <v>13</v>
      </c>
      <c r="M2" t="inlineStr">
        <is>
          <t>(714) 466-5359</t>
        </is>
      </c>
      <c r="N2" t="inlineStr">
        <is>
          <t>michellephuongng@gmail.com</t>
        </is>
      </c>
      <c r="O2" t="inlineStr">
        <is>
          <t>Consent form status unknown or not provided</t>
        </is>
      </c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HYPERLINK("https://chmeetings.blob.core.windows.net/846969/attachments/W9bzGDguQE6bvmSS8yK6g/23dde69a-d336-4d13-92cf-2f47abb43685.jpg", "https://chmeetings.blob.core.windows.net/846969/attachments/W9bzGDguQE6bvmSS8yK6g/23dde69a-d336-4d13-92cf-2f47abb43685.jpg")</f>
        <v/>
      </c>
      <c r="W2" t="inlineStr">
        <is>
          <t>2026-05-02 19:51:57</t>
        </is>
      </c>
    </row>
    <row r="3">
      <c r="A3" t="inlineStr">
        <is>
          <t>TLC</t>
        </is>
      </c>
      <c r="B3" t="inlineStr">
        <is>
          <t>3618802</t>
        </is>
      </c>
      <c r="C3" t="inlineStr">
        <is>
          <t>Peter</t>
        </is>
      </c>
      <c r="D3" t="inlineStr">
        <is>
          <t>Dang</t>
        </is>
      </c>
      <c r="E3" t="inlineStr">
        <is>
          <t>Yes</t>
        </is>
      </c>
      <c r="F3" t="inlineStr">
        <is>
          <t>Yes</t>
        </is>
      </c>
      <c r="G3" t="inlineStr">
        <is>
          <t>86</t>
        </is>
      </c>
      <c r="H3" t="inlineStr">
        <is>
          <t>validated</t>
        </is>
      </c>
      <c r="I3" t="n">
        <v>0</v>
      </c>
      <c r="J3" t="inlineStr">
        <is>
          <t>Male</t>
        </is>
      </c>
      <c r="K3" t="inlineStr">
        <is>
          <t>1999-09-05</t>
        </is>
      </c>
      <c r="L3" t="n">
        <v>26</v>
      </c>
      <c r="M3" t="inlineStr">
        <is>
          <t>(714) 589-7371</t>
        </is>
      </c>
      <c r="N3" t="inlineStr">
        <is>
          <t>Danghoaiminh@gmail.com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HYPERLINK("https://chmeetings.blob.core.windows.net/846969/attachments/Nxtp9U9gCEiPsYqocAkaFg/2d0fe47c-8ab7-4c18-960f-181f8bdfeb61.jpg", "https://chmeetings.blob.core.windows.net/846969/attachments/Nxtp9U9gCEiPsYqocAkaFg/2d0fe47c-8ab7-4c18-960f-181f8bdfeb61.jpg")</f>
        <v/>
      </c>
      <c r="W3" t="inlineStr">
        <is>
          <t>2026-05-03 04:38:48</t>
        </is>
      </c>
    </row>
    <row r="4">
      <c r="A4" t="inlineStr">
        <is>
          <t>TLC</t>
        </is>
      </c>
      <c r="B4" t="inlineStr">
        <is>
          <t>3618801</t>
        </is>
      </c>
      <c r="C4" t="inlineStr">
        <is>
          <t>Thao</t>
        </is>
      </c>
      <c r="D4" t="inlineStr">
        <is>
          <t>Dang</t>
        </is>
      </c>
      <c r="E4" t="inlineStr">
        <is>
          <t>Yes</t>
        </is>
      </c>
      <c r="F4" t="inlineStr">
        <is>
          <t>Yes</t>
        </is>
      </c>
      <c r="G4" t="inlineStr">
        <is>
          <t>87</t>
        </is>
      </c>
      <c r="H4" t="inlineStr">
        <is>
          <t>validated</t>
        </is>
      </c>
      <c r="I4" t="n">
        <v>0</v>
      </c>
      <c r="J4" t="inlineStr">
        <is>
          <t>Female</t>
        </is>
      </c>
      <c r="K4" t="inlineStr">
        <is>
          <t>1998-08-20</t>
        </is>
      </c>
      <c r="L4" t="n">
        <v>27</v>
      </c>
      <c r="M4" t="inlineStr">
        <is>
          <t>(714) 622-8253</t>
        </is>
      </c>
      <c r="N4" t="inlineStr">
        <is>
          <t>Thienthao6325@gmail.com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HYPERLINK("https://chmeetings.blob.core.windows.net/846969/attachments/IGfWpmInt0CaKkM3u2CxkA/5fe96a31-6f8d-4c09-90f8-d4aafca24385.jpg", "https://chmeetings.blob.core.windows.net/846969/attachments/IGfWpmInt0CaKkM3u2CxkA/5fe96a31-6f8d-4c09-90f8-d4aafca24385.jpg")</f>
        <v/>
      </c>
      <c r="W4" t="inlineStr">
        <is>
          <t>2026-05-03 04:38:59</t>
        </is>
      </c>
    </row>
    <row r="5">
      <c r="A5" t="inlineStr">
        <is>
          <t>TLC</t>
        </is>
      </c>
      <c r="B5" t="inlineStr">
        <is>
          <t>4361949</t>
        </is>
      </c>
      <c r="C5" t="inlineStr">
        <is>
          <t>Shan</t>
        </is>
      </c>
      <c r="D5" t="inlineStr">
        <is>
          <t>Gao</t>
        </is>
      </c>
      <c r="E5" t="inlineStr">
        <is>
          <t>Yes</t>
        </is>
      </c>
      <c r="F5" t="inlineStr">
        <is>
          <t>Yes</t>
        </is>
      </c>
      <c r="G5" t="inlineStr">
        <is>
          <t>30</t>
        </is>
      </c>
      <c r="H5" t="inlineStr">
        <is>
          <t>validated</t>
        </is>
      </c>
      <c r="I5" t="n">
        <v>0</v>
      </c>
      <c r="J5" t="inlineStr">
        <is>
          <t>Male</t>
        </is>
      </c>
      <c r="K5" t="inlineStr">
        <is>
          <t>2003-03-25</t>
        </is>
      </c>
      <c r="L5" t="n">
        <v>23</v>
      </c>
      <c r="M5" t="inlineStr">
        <is>
          <t>(626) 861-8687</t>
        </is>
      </c>
      <c r="N5" t="inlineStr">
        <is>
          <t>w2801046931@gmail.com</t>
        </is>
      </c>
      <c r="O5" t="inlineStr"/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HYPERLINK("https://chmeetings.blob.core.windows.net/846969/attachments/Z3yem4f1HkKx9fc551NLNw/7bc871da-1eeb-4b72-9047-060bf53c9b05.jpg", "https://chmeetings.blob.core.windows.net/846969/attachments/Z3yem4f1HkKx9fc551NLNw/7bc871da-1eeb-4b72-9047-060bf53c9b05.jpg")</f>
        <v/>
      </c>
      <c r="W5" t="inlineStr">
        <is>
          <t>2026-05-02 20:13:04</t>
        </is>
      </c>
    </row>
    <row r="6">
      <c r="A6" t="inlineStr">
        <is>
          <t>TLC</t>
        </is>
      </c>
      <c r="B6" t="inlineStr">
        <is>
          <t>4361946</t>
        </is>
      </c>
      <c r="C6" t="inlineStr">
        <is>
          <t>Ivan</t>
        </is>
      </c>
      <c r="D6" t="inlineStr">
        <is>
          <t>Le</t>
        </is>
      </c>
      <c r="E6" t="inlineStr">
        <is>
          <t>Yes</t>
        </is>
      </c>
      <c r="F6" t="inlineStr">
        <is>
          <t>Yes</t>
        </is>
      </c>
      <c r="G6" t="inlineStr">
        <is>
          <t>27</t>
        </is>
      </c>
      <c r="H6" t="inlineStr">
        <is>
          <t>validated</t>
        </is>
      </c>
      <c r="I6" t="n">
        <v>0</v>
      </c>
      <c r="J6" t="inlineStr">
        <is>
          <t>Male</t>
        </is>
      </c>
      <c r="K6" t="inlineStr">
        <is>
          <t>2004-11-10</t>
        </is>
      </c>
      <c r="L6" t="n">
        <v>21</v>
      </c>
      <c r="M6" t="inlineStr">
        <is>
          <t>(714) 804-4074</t>
        </is>
      </c>
      <c r="N6" t="inlineStr">
        <is>
          <t>ivan92708@gmail.com</t>
        </is>
      </c>
      <c r="O6" t="inlineStr"/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HYPERLINK("https://chmeetings.blob.core.windows.net/846969/attachments/XrueUAlMOUyouOnd0HI8YQ/b7be290e-2f7f-4b78-a624-0e1aebc0b779.jpg", "https://chmeetings.blob.core.windows.net/846969/attachments/XrueUAlMOUyouOnd0HI8YQ/b7be290e-2f7f-4b78-a624-0e1aebc0b779.jpg")</f>
        <v/>
      </c>
      <c r="W6" t="inlineStr">
        <is>
          <t>2026-05-02 20:12:32</t>
        </is>
      </c>
    </row>
    <row r="7">
      <c r="A7" t="inlineStr">
        <is>
          <t>TLC</t>
        </is>
      </c>
      <c r="B7" t="inlineStr">
        <is>
          <t>3562839</t>
        </is>
      </c>
      <c r="C7" t="inlineStr">
        <is>
          <t>Shawn</t>
        </is>
      </c>
      <c r="D7" t="inlineStr">
        <is>
          <t>Le</t>
        </is>
      </c>
      <c r="E7" t="inlineStr">
        <is>
          <t>Yes</t>
        </is>
      </c>
      <c r="F7" t="inlineStr">
        <is>
          <t>Yes</t>
        </is>
      </c>
      <c r="G7" t="inlineStr">
        <is>
          <t>31</t>
        </is>
      </c>
      <c r="H7" t="inlineStr">
        <is>
          <t>pending_approval</t>
        </is>
      </c>
      <c r="I7" t="n">
        <v>0</v>
      </c>
      <c r="J7" t="inlineStr">
        <is>
          <t>Male</t>
        </is>
      </c>
      <c r="K7" t="inlineStr">
        <is>
          <t>1997-10-23</t>
        </is>
      </c>
      <c r="L7" t="n">
        <v>28</v>
      </c>
      <c r="M7" t="inlineStr">
        <is>
          <t>(949) 416-8033</t>
        </is>
      </c>
      <c r="N7" t="inlineStr">
        <is>
          <t>shawn.le@thanhlechurch.com</t>
        </is>
      </c>
      <c r="O7" t="inlineStr"/>
      <c r="P7" t="inlineStr">
        <is>
          <t>1. Correct identity, gender, age range</t>
        </is>
      </c>
      <c r="Q7" t="inlineStr">
        <is>
          <t>2. Consent Form Signed by Self or Parents</t>
        </is>
      </c>
      <c r="R7" t="inlineStr">
        <is>
          <t>3. Account created on Member Portal and logged in</t>
        </is>
      </c>
      <c r="S7" t="inlineStr">
        <is>
          <t>4. Valid Photo as ID for event check-in</t>
        </is>
      </c>
      <c r="T7" t="inlineStr"/>
      <c r="U7" t="inlineStr"/>
      <c r="V7">
        <f>HYPERLINK("https://chmeetings.blob.core.windows.net/846969/attachments/YGg8n4kfIE6Jo6c8Uj0LMQ/267c68c0-1843-43e2-93a4-f5c795fb5c3f.jpg", "https://chmeetings.blob.core.windows.net/846969/attachments/YGg8n4kfIE6Jo6c8Uj0LMQ/267c68c0-1843-43e2-93a4-f5c795fb5c3f.jpg")</f>
        <v/>
      </c>
      <c r="W7" t="inlineStr">
        <is>
          <t>2026-05-02 20:03:51</t>
        </is>
      </c>
    </row>
    <row r="8">
      <c r="A8" t="inlineStr">
        <is>
          <t>TLC</t>
        </is>
      </c>
      <c r="B8" t="inlineStr">
        <is>
          <t>4361934</t>
        </is>
      </c>
      <c r="C8" t="inlineStr">
        <is>
          <t>James</t>
        </is>
      </c>
      <c r="D8" t="inlineStr">
        <is>
          <t>Nguyen</t>
        </is>
      </c>
      <c r="E8" t="inlineStr">
        <is>
          <t>Yes</t>
        </is>
      </c>
      <c r="F8" t="inlineStr">
        <is>
          <t>Yes</t>
        </is>
      </c>
      <c r="G8" t="inlineStr">
        <is>
          <t>28</t>
        </is>
      </c>
      <c r="H8" t="inlineStr">
        <is>
          <t>validated</t>
        </is>
      </c>
      <c r="I8" t="n">
        <v>0</v>
      </c>
      <c r="J8" t="inlineStr">
        <is>
          <t>Male</t>
        </is>
      </c>
      <c r="K8" t="inlineStr">
        <is>
          <t>2003-11-02</t>
        </is>
      </c>
      <c r="L8" t="n">
        <v>22</v>
      </c>
      <c r="M8" t="inlineStr">
        <is>
          <t>(626) 227-4099</t>
        </is>
      </c>
      <c r="N8" t="inlineStr">
        <is>
          <t>nguyejames03@gmail.com</t>
        </is>
      </c>
      <c r="O8" t="inlineStr"/>
      <c r="P8" t="inlineStr"/>
      <c r="Q8" t="inlineStr"/>
      <c r="R8" t="inlineStr"/>
      <c r="S8" t="inlineStr"/>
      <c r="T8" t="inlineStr"/>
      <c r="U8" t="inlineStr"/>
      <c r="V8">
        <f>HYPERLINK("https://chmeetings.blob.core.windows.net/846969/attachments/1N8zi6qzvEuqeQtuOAnIA/db69b783-cf12-4974-9080-8a1301fb5ca9.jpg", "https://chmeetings.blob.core.windows.net/846969/attachments/1N8zi6qzvEuqeQtuOAnIA/db69b783-cf12-4974-9080-8a1301fb5ca9.jpg")</f>
        <v/>
      </c>
      <c r="W8" t="inlineStr">
        <is>
          <t>2026-05-02 19:51:58</t>
        </is>
      </c>
    </row>
    <row r="9">
      <c r="A9" t="inlineStr">
        <is>
          <t>TLC</t>
        </is>
      </c>
      <c r="B9" t="inlineStr">
        <is>
          <t>4361933</t>
        </is>
      </c>
      <c r="C9" t="inlineStr">
        <is>
          <t>Hyewon</t>
        </is>
      </c>
      <c r="D9" t="inlineStr">
        <is>
          <t>Yun</t>
        </is>
      </c>
      <c r="E9" t="inlineStr">
        <is>
          <t>Yes</t>
        </is>
      </c>
      <c r="F9" t="inlineStr">
        <is>
          <t>No</t>
        </is>
      </c>
      <c r="G9" t="inlineStr">
        <is>
          <t>26</t>
        </is>
      </c>
      <c r="H9" t="inlineStr">
        <is>
          <t>validated</t>
        </is>
      </c>
      <c r="I9" t="n">
        <v>0</v>
      </c>
      <c r="J9" t="inlineStr">
        <is>
          <t>Male</t>
        </is>
      </c>
      <c r="K9" t="inlineStr">
        <is>
          <t>1996-06-14</t>
        </is>
      </c>
      <c r="L9" t="n">
        <v>30</v>
      </c>
      <c r="M9" t="inlineStr">
        <is>
          <t>(714) 501-3313</t>
        </is>
      </c>
      <c r="N9" t="inlineStr">
        <is>
          <t>hyewonyun1996@gmail.com</t>
        </is>
      </c>
      <c r="O9" t="inlineStr"/>
      <c r="P9" t="inlineStr"/>
      <c r="Q9" t="inlineStr"/>
      <c r="R9" t="inlineStr"/>
      <c r="S9" t="inlineStr"/>
      <c r="T9" t="inlineStr"/>
      <c r="U9" t="inlineStr"/>
      <c r="V9">
        <f>HYPERLINK("https://chmeetings.blob.core.windows.net/846969/attachments/iz7lVTuVok6vCCLaDh89w/5c294fc1-1dd8-4abe-8c6d-053ac638f408.jpg", "https://chmeetings.blob.core.windows.net/846969/attachments/iz7lVTuVok6vCCLaDh89w/5c294fc1-1dd8-4abe-8c6d-053ac638f408.jpg")</f>
        <v/>
      </c>
      <c r="W9" t="inlineStr">
        <is>
          <t>2026-05-02 19:51:57</t>
        </is>
      </c>
    </row>
  </sheetData>
  <autoFilter ref="A1:W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4.5" customWidth="1" min="7" max="7"/>
    <col width="5" customWidth="1" min="8" max="8"/>
    <col width="4" customWidth="1" min="9" max="9"/>
    <col width="9" customWidth="1" min="10" max="10"/>
    <col width="9" customWidth="1" min="11" max="11"/>
    <col width="15" customWidth="1" min="12" max="12"/>
    <col width="7" customWidth="1" min="13" max="13"/>
    <col width="8" customWidth="1" min="14" max="14"/>
    <col width="4" customWidth="1" min="15" max="15"/>
    <col width="7" customWidth="1" min="16" max="16"/>
    <col width="6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TLC</t>
        </is>
      </c>
      <c r="B2" t="inlineStr">
        <is>
          <t>4361949</t>
        </is>
      </c>
      <c r="C2" t="inlineStr">
        <is>
          <t>30</t>
        </is>
      </c>
      <c r="D2" t="inlineStr">
        <is>
          <t>validated</t>
        </is>
      </c>
      <c r="E2" t="b">
        <v>1</v>
      </c>
      <c r="F2">
        <f>IMAGE("https://chmeetings.blob.core.windows.net/846969/attachments/Z3yem4f1HkKx9fc551NLNw/7bc871da-1eeb-4b72-9047-060bf53c9b05.jpg")</f>
        <v/>
      </c>
      <c r="G2" t="inlineStr">
        <is>
          <t>Shan</t>
        </is>
      </c>
      <c r="H2" t="inlineStr">
        <is>
          <t>Gao</t>
        </is>
      </c>
      <c r="I2" t="inlineStr">
        <is>
          <t>Male</t>
        </is>
      </c>
      <c r="J2" t="n">
        <v>23</v>
      </c>
      <c r="K2" t="inlineStr">
        <is>
          <t>(626) 861-8687</t>
        </is>
      </c>
      <c r="L2" t="inlineStr">
        <is>
          <t>w2801046931@gmail.com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James Nguyen</t>
        </is>
      </c>
    </row>
    <row r="3">
      <c r="A3" t="inlineStr">
        <is>
          <t>TLC</t>
        </is>
      </c>
      <c r="B3" t="inlineStr">
        <is>
          <t>3562839</t>
        </is>
      </c>
      <c r="C3" t="inlineStr">
        <is>
          <t>31</t>
        </is>
      </c>
      <c r="D3" t="inlineStr">
        <is>
          <t>pending_approval</t>
        </is>
      </c>
      <c r="E3" t="b">
        <v>1</v>
      </c>
      <c r="F3">
        <f>IMAGE("https://chmeetings.blob.core.windows.net/846969/attachments/YGg8n4kfIE6Jo6c8Uj0LMQ/267c68c0-1843-43e2-93a4-f5c795fb5c3f.jpg")</f>
        <v/>
      </c>
      <c r="G3" t="inlineStr">
        <is>
          <t>Shawn</t>
        </is>
      </c>
      <c r="H3" t="inlineStr">
        <is>
          <t>Le</t>
        </is>
      </c>
      <c r="I3" t="inlineStr">
        <is>
          <t>Male</t>
        </is>
      </c>
      <c r="J3" t="n">
        <v>28</v>
      </c>
      <c r="K3" t="inlineStr">
        <is>
          <t>(949) 416-8033</t>
        </is>
      </c>
      <c r="L3" t="inlineStr">
        <is>
          <t>shawn.le@thanhlechurch.com</t>
        </is>
      </c>
      <c r="M3" t="inlineStr">
        <is>
          <t>Badminton</t>
        </is>
      </c>
      <c r="N3" t="inlineStr">
        <is>
          <t>Men</t>
        </is>
      </c>
      <c r="O3" t="inlineStr">
        <is>
          <t>Doubles</t>
        </is>
      </c>
      <c r="P3" t="inlineStr"/>
      <c r="Q3" t="inlineStr"/>
    </row>
    <row r="4">
      <c r="A4" t="inlineStr">
        <is>
          <t>TLC</t>
        </is>
      </c>
      <c r="B4" t="inlineStr">
        <is>
          <t>4361934</t>
        </is>
      </c>
      <c r="C4" t="inlineStr">
        <is>
          <t>28</t>
        </is>
      </c>
      <c r="D4" t="inlineStr">
        <is>
          <t>validated</t>
        </is>
      </c>
      <c r="E4" t="b">
        <v>1</v>
      </c>
      <c r="F4">
        <f>IMAGE("https://chmeetings.blob.core.windows.net/846969/attachments/1N8zi6qzvEuqeQtuOAnIA/db69b783-cf12-4974-9080-8a1301fb5ca9.jpg")</f>
        <v/>
      </c>
      <c r="G4" t="inlineStr">
        <is>
          <t>James</t>
        </is>
      </c>
      <c r="H4" t="inlineStr">
        <is>
          <t>Nguyen</t>
        </is>
      </c>
      <c r="I4" t="inlineStr">
        <is>
          <t>Male</t>
        </is>
      </c>
      <c r="J4" t="n">
        <v>22</v>
      </c>
      <c r="K4" t="inlineStr">
        <is>
          <t>(626) 227-4099</t>
        </is>
      </c>
      <c r="L4" t="inlineStr">
        <is>
          <t>nguyejames03@gmail.com</t>
        </is>
      </c>
      <c r="M4" t="inlineStr">
        <is>
          <t>Badminton</t>
        </is>
      </c>
      <c r="N4" t="inlineStr">
        <is>
          <t>Men</t>
        </is>
      </c>
      <c r="O4" t="inlineStr">
        <is>
          <t>Doubles</t>
        </is>
      </c>
      <c r="P4" t="inlineStr"/>
      <c r="Q4" t="inlineStr">
        <is>
          <t>Shan Gao (Gary)</t>
        </is>
      </c>
    </row>
    <row r="5">
      <c r="A5" t="inlineStr">
        <is>
          <t>TLC</t>
        </is>
      </c>
      <c r="B5" t="inlineStr">
        <is>
          <t>4361933</t>
        </is>
      </c>
      <c r="C5" t="inlineStr">
        <is>
          <t>26</t>
        </is>
      </c>
      <c r="D5" t="inlineStr">
        <is>
          <t>validated</t>
        </is>
      </c>
      <c r="E5" t="b">
        <v>0</v>
      </c>
      <c r="F5">
        <f>IMAGE("https://chmeetings.blob.core.windows.net/846969/attachments/iz7lVTuVok6vCCLaDh89w/5c294fc1-1dd8-4abe-8c6d-053ac638f408.jpg")</f>
        <v/>
      </c>
      <c r="G5" t="inlineStr">
        <is>
          <t>Hyewon</t>
        </is>
      </c>
      <c r="H5" t="inlineStr">
        <is>
          <t>Yun</t>
        </is>
      </c>
      <c r="I5" t="inlineStr">
        <is>
          <t>Male</t>
        </is>
      </c>
      <c r="J5" t="n">
        <v>30</v>
      </c>
      <c r="K5" t="inlineStr">
        <is>
          <t>(714) 501-3313</t>
        </is>
      </c>
      <c r="L5" t="inlineStr">
        <is>
          <t>hyewonyun1996@gmail.com</t>
        </is>
      </c>
      <c r="M5" t="inlineStr">
        <is>
          <t>Badminton</t>
        </is>
      </c>
      <c r="N5" t="inlineStr">
        <is>
          <t>Men</t>
        </is>
      </c>
      <c r="O5" t="inlineStr">
        <is>
          <t>Doubles</t>
        </is>
      </c>
      <c r="P5" t="inlineStr"/>
      <c r="Q5" t="inlineStr">
        <is>
          <t>Shawn Le</t>
        </is>
      </c>
    </row>
    <row r="6">
      <c r="A6" t="inlineStr">
        <is>
          <t>TLC</t>
        </is>
      </c>
      <c r="B6" t="inlineStr">
        <is>
          <t>3562839</t>
        </is>
      </c>
      <c r="C6" t="inlineStr">
        <is>
          <t>31</t>
        </is>
      </c>
      <c r="D6" t="inlineStr">
        <is>
          <t>pending_approval</t>
        </is>
      </c>
      <c r="E6" t="b">
        <v>1</v>
      </c>
      <c r="F6">
        <f>IMAGE("https://chmeetings.blob.core.windows.net/846969/attachments/YGg8n4kfIE6Jo6c8Uj0LMQ/267c68c0-1843-43e2-93a4-f5c795fb5c3f.jpg")</f>
        <v/>
      </c>
      <c r="G6" t="inlineStr">
        <is>
          <t>Shawn</t>
        </is>
      </c>
      <c r="H6" t="inlineStr">
        <is>
          <t>Le</t>
        </is>
      </c>
      <c r="I6" t="inlineStr">
        <is>
          <t>Male</t>
        </is>
      </c>
      <c r="J6" t="n">
        <v>28</v>
      </c>
      <c r="K6" t="inlineStr">
        <is>
          <t>(949) 416-8033</t>
        </is>
      </c>
      <c r="L6" t="inlineStr">
        <is>
          <t>shawn.le@thanhlechurch.com</t>
        </is>
      </c>
      <c r="M6" t="inlineStr">
        <is>
          <t>Badminton</t>
        </is>
      </c>
      <c r="N6" t="inlineStr">
        <is>
          <t>Mixed</t>
        </is>
      </c>
      <c r="O6" t="inlineStr">
        <is>
          <t>Doubles</t>
        </is>
      </c>
      <c r="P6" t="inlineStr"/>
      <c r="Q6" t="inlineStr"/>
    </row>
    <row r="7">
      <c r="A7" t="inlineStr">
        <is>
          <t>TLC</t>
        </is>
      </c>
      <c r="B7" t="inlineStr">
        <is>
          <t>3618802</t>
        </is>
      </c>
      <c r="C7" t="inlineStr">
        <is>
          <t>86</t>
        </is>
      </c>
      <c r="D7" t="inlineStr">
        <is>
          <t>validated</t>
        </is>
      </c>
      <c r="E7" t="b">
        <v>1</v>
      </c>
      <c r="F7">
        <f>IMAGE("https://chmeetings.blob.core.windows.net/846969/attachments/Nxtp9U9gCEiPsYqocAkaFg/2d0fe47c-8ab7-4c18-960f-181f8bdfeb61.jpg")</f>
        <v/>
      </c>
      <c r="G7" t="inlineStr">
        <is>
          <t>Peter</t>
        </is>
      </c>
      <c r="H7" t="inlineStr">
        <is>
          <t>Dang</t>
        </is>
      </c>
      <c r="I7" t="inlineStr">
        <is>
          <t>Male</t>
        </is>
      </c>
      <c r="J7" t="n">
        <v>26</v>
      </c>
      <c r="K7" t="inlineStr">
        <is>
          <t>(714) 589-7371</t>
        </is>
      </c>
      <c r="L7" t="inlineStr">
        <is>
          <t>Danghoaiminh@gmail.com</t>
        </is>
      </c>
      <c r="M7" t="inlineStr">
        <is>
          <t>Bible Challenge</t>
        </is>
      </c>
      <c r="N7" t="inlineStr">
        <is>
          <t>Mixed</t>
        </is>
      </c>
      <c r="O7" t="inlineStr">
        <is>
          <t>Team</t>
        </is>
      </c>
      <c r="P7" t="inlineStr"/>
      <c r="Q7" t="inlineStr"/>
    </row>
    <row r="8">
      <c r="A8" t="inlineStr">
        <is>
          <t>TLC</t>
        </is>
      </c>
      <c r="B8" t="inlineStr">
        <is>
          <t>3618801</t>
        </is>
      </c>
      <c r="C8" t="inlineStr">
        <is>
          <t>87</t>
        </is>
      </c>
      <c r="D8" t="inlineStr">
        <is>
          <t>validated</t>
        </is>
      </c>
      <c r="E8" t="b">
        <v>1</v>
      </c>
      <c r="F8">
        <f>IMAGE("https://chmeetings.blob.core.windows.net/846969/attachments/IGfWpmInt0CaKkM3u2CxkA/5fe96a31-6f8d-4c09-90f8-d4aafca24385.jpg")</f>
        <v/>
      </c>
      <c r="G8" t="inlineStr">
        <is>
          <t>Thao</t>
        </is>
      </c>
      <c r="H8" t="inlineStr">
        <is>
          <t>Dang</t>
        </is>
      </c>
      <c r="I8" t="inlineStr">
        <is>
          <t>Female</t>
        </is>
      </c>
      <c r="J8" t="n">
        <v>27</v>
      </c>
      <c r="K8" t="inlineStr">
        <is>
          <t>(714) 622-8253</t>
        </is>
      </c>
      <c r="L8" t="inlineStr">
        <is>
          <t>Thienthao6325@gmail.com</t>
        </is>
      </c>
      <c r="M8" t="inlineStr">
        <is>
          <t>Bible Challenge</t>
        </is>
      </c>
      <c r="N8" t="inlineStr">
        <is>
          <t>Mixed</t>
        </is>
      </c>
      <c r="O8" t="inlineStr">
        <is>
          <t>Team</t>
        </is>
      </c>
      <c r="P8" t="inlineStr"/>
      <c r="Q8" t="inlineStr"/>
    </row>
    <row r="9">
      <c r="A9" t="inlineStr">
        <is>
          <t>TLC</t>
        </is>
      </c>
      <c r="B9" t="inlineStr">
        <is>
          <t>4361946</t>
        </is>
      </c>
      <c r="C9" t="inlineStr">
        <is>
          <t>27</t>
        </is>
      </c>
      <c r="D9" t="inlineStr">
        <is>
          <t>validated</t>
        </is>
      </c>
      <c r="E9" t="b">
        <v>1</v>
      </c>
      <c r="F9">
        <f>IMAGE("https://chmeetings.blob.core.windows.net/846969/attachments/XrueUAlMOUyouOnd0HI8YQ/b7be290e-2f7f-4b78-a624-0e1aebc0b779.jpg")</f>
        <v/>
      </c>
      <c r="G9" t="inlineStr">
        <is>
          <t>Ivan</t>
        </is>
      </c>
      <c r="H9" t="inlineStr">
        <is>
          <t>Le</t>
        </is>
      </c>
      <c r="I9" t="inlineStr">
        <is>
          <t>Male</t>
        </is>
      </c>
      <c r="J9" t="n">
        <v>21</v>
      </c>
      <c r="K9" t="inlineStr">
        <is>
          <t>(714) 804-4074</t>
        </is>
      </c>
      <c r="L9" t="inlineStr">
        <is>
          <t>ivan92708@gmail.com</t>
        </is>
      </c>
      <c r="M9" t="inlineStr">
        <is>
          <t>Bible Challenge</t>
        </is>
      </c>
      <c r="N9" t="inlineStr">
        <is>
          <t>Mixed</t>
        </is>
      </c>
      <c r="O9" t="inlineStr">
        <is>
          <t>Team</t>
        </is>
      </c>
      <c r="P9" t="inlineStr"/>
      <c r="Q9" t="inlineStr"/>
    </row>
    <row r="10">
      <c r="A10" t="inlineStr">
        <is>
          <t>TLC</t>
        </is>
      </c>
      <c r="B10" t="inlineStr">
        <is>
          <t>3562839</t>
        </is>
      </c>
      <c r="C10" t="inlineStr">
        <is>
          <t>31</t>
        </is>
      </c>
      <c r="D10" t="inlineStr">
        <is>
          <t>pending_approval</t>
        </is>
      </c>
      <c r="E10" t="b">
        <v>1</v>
      </c>
      <c r="F10">
        <f>IMAGE("https://chmeetings.blob.core.windows.net/846969/attachments/YGg8n4kfIE6Jo6c8Uj0LMQ/267c68c0-1843-43e2-93a4-f5c795fb5c3f.jpg")</f>
        <v/>
      </c>
      <c r="G10" t="inlineStr">
        <is>
          <t>Shawn</t>
        </is>
      </c>
      <c r="H10" t="inlineStr">
        <is>
          <t>Le</t>
        </is>
      </c>
      <c r="I10" t="inlineStr">
        <is>
          <t>Male</t>
        </is>
      </c>
      <c r="J10" t="n">
        <v>28</v>
      </c>
      <c r="K10" t="inlineStr">
        <is>
          <t>(949) 416-8033</t>
        </is>
      </c>
      <c r="L10" t="inlineStr">
        <is>
          <t>shawn.le@thanhlechurch.com</t>
        </is>
      </c>
      <c r="M10" t="inlineStr">
        <is>
          <t>Scripture Memorization</t>
        </is>
      </c>
      <c r="N10" t="inlineStr">
        <is>
          <t>Mixed</t>
        </is>
      </c>
      <c r="O10" t="inlineStr">
        <is>
          <t>Team</t>
        </is>
      </c>
      <c r="P10" t="inlineStr"/>
      <c r="Q10" t="inlineStr"/>
    </row>
    <row r="11">
      <c r="A11" t="inlineStr">
        <is>
          <t>TLC</t>
        </is>
      </c>
      <c r="B11" t="inlineStr">
        <is>
          <t>4361932</t>
        </is>
      </c>
      <c r="C11" t="inlineStr">
        <is>
          <t>29</t>
        </is>
      </c>
      <c r="D11" t="inlineStr">
        <is>
          <t>pending</t>
        </is>
      </c>
      <c r="E11" t="b">
        <v>1</v>
      </c>
      <c r="F11">
        <f>IMAGE("https://chmeetings.blob.core.windows.net/846969/attachments/W9bzGDguQE6bvmSS8yK6g/23dde69a-d336-4d13-92cf-2f47abb43685.jpg")</f>
        <v/>
      </c>
      <c r="G11" t="inlineStr">
        <is>
          <t>Michelle</t>
        </is>
      </c>
      <c r="H11" t="inlineStr">
        <is>
          <t>Nguyen</t>
        </is>
      </c>
      <c r="I11" t="inlineStr">
        <is>
          <t>Female</t>
        </is>
      </c>
      <c r="J11" t="n">
        <v>13</v>
      </c>
      <c r="K11" t="inlineStr">
        <is>
          <t>(714) 466-5359</t>
        </is>
      </c>
      <c r="L11" t="inlineStr">
        <is>
          <t>michellephuongng@gmail.com</t>
        </is>
      </c>
      <c r="M11" t="inlineStr">
        <is>
          <t>Scripture Memorization</t>
        </is>
      </c>
      <c r="N11" t="inlineStr">
        <is>
          <t>Mixed</t>
        </is>
      </c>
      <c r="O11" t="inlineStr">
        <is>
          <t>Team</t>
        </is>
      </c>
      <c r="P11" t="inlineStr"/>
      <c r="Q11" t="inlineStr"/>
    </row>
    <row r="12">
      <c r="A12" t="inlineStr">
        <is>
          <t>TLC</t>
        </is>
      </c>
      <c r="B12" t="inlineStr">
        <is>
          <t>3562839</t>
        </is>
      </c>
      <c r="C12" t="inlineStr">
        <is>
          <t>31</t>
        </is>
      </c>
      <c r="D12" t="inlineStr">
        <is>
          <t>pending_approval</t>
        </is>
      </c>
      <c r="E12" t="b">
        <v>1</v>
      </c>
      <c r="F12">
        <f>IMAGE("https://chmeetings.blob.core.windows.net/846969/attachments/YGg8n4kfIE6Jo6c8Uj0LMQ/267c68c0-1843-43e2-93a4-f5c795fb5c3f.jpg")</f>
        <v/>
      </c>
      <c r="G12" t="inlineStr">
        <is>
          <t>Shawn</t>
        </is>
      </c>
      <c r="H12" t="inlineStr">
        <is>
          <t>Le</t>
        </is>
      </c>
      <c r="I12" t="inlineStr">
        <is>
          <t>Male</t>
        </is>
      </c>
      <c r="J12" t="n">
        <v>28</v>
      </c>
      <c r="K12" t="inlineStr">
        <is>
          <t>(949) 416-8033</t>
        </is>
      </c>
      <c r="L12" t="inlineStr">
        <is>
          <t>shawn.le@thanhlechurch.com</t>
        </is>
      </c>
      <c r="M12" t="inlineStr">
        <is>
          <t>Soccer - Coed Exhibition</t>
        </is>
      </c>
      <c r="N12" t="inlineStr">
        <is>
          <t>Mixed</t>
        </is>
      </c>
      <c r="O12" t="inlineStr">
        <is>
          <t>Team</t>
        </is>
      </c>
      <c r="P12" t="inlineStr"/>
      <c r="Q12" t="inlineStr"/>
    </row>
    <row r="13">
      <c r="A13" t="inlineStr">
        <is>
          <t>TLC</t>
        </is>
      </c>
      <c r="B13" t="inlineStr">
        <is>
          <t>3562839</t>
        </is>
      </c>
      <c r="C13" t="inlineStr">
        <is>
          <t>31</t>
        </is>
      </c>
      <c r="D13" t="inlineStr">
        <is>
          <t>pending_approval</t>
        </is>
      </c>
      <c r="E13" t="b">
        <v>1</v>
      </c>
      <c r="F13">
        <f>IMAGE("https://chmeetings.blob.core.windows.net/846969/attachments/YGg8n4kfIE6Jo6c8Uj0LMQ/267c68c0-1843-43e2-93a4-f5c795fb5c3f.jpg")</f>
        <v/>
      </c>
      <c r="G13" t="inlineStr">
        <is>
          <t>Shawn</t>
        </is>
      </c>
      <c r="H13" t="inlineStr">
        <is>
          <t>Le</t>
        </is>
      </c>
      <c r="I13" t="inlineStr">
        <is>
          <t>Male</t>
        </is>
      </c>
      <c r="J13" t="n">
        <v>28</v>
      </c>
      <c r="K13" t="inlineStr">
        <is>
          <t>(949) 416-8033</t>
        </is>
      </c>
      <c r="L13" t="inlineStr">
        <is>
          <t>shawn.le@thanhlechurch.com</t>
        </is>
      </c>
      <c r="M13" t="inlineStr">
        <is>
          <t>Track &amp; Field</t>
        </is>
      </c>
      <c r="N13" t="inlineStr">
        <is>
          <t>Mixed</t>
        </is>
      </c>
      <c r="O13" t="inlineStr">
        <is>
          <t>Team</t>
        </is>
      </c>
      <c r="P13" t="inlineStr"/>
      <c r="Q13" t="inlineStr"/>
    </row>
    <row r="14">
      <c r="A14" t="inlineStr">
        <is>
          <t>TLC</t>
        </is>
      </c>
      <c r="B14" t="inlineStr">
        <is>
          <t>3562839</t>
        </is>
      </c>
      <c r="C14" t="inlineStr">
        <is>
          <t>31</t>
        </is>
      </c>
      <c r="D14" t="inlineStr">
        <is>
          <t>pending_approval</t>
        </is>
      </c>
      <c r="E14" t="b">
        <v>1</v>
      </c>
      <c r="F14">
        <f>IMAGE("https://chmeetings.blob.core.windows.net/846969/attachments/YGg8n4kfIE6Jo6c8Uj0LMQ/267c68c0-1843-43e2-93a4-f5c795fb5c3f.jpg")</f>
        <v/>
      </c>
      <c r="G14" t="inlineStr">
        <is>
          <t>Shawn</t>
        </is>
      </c>
      <c r="H14" t="inlineStr">
        <is>
          <t>Le</t>
        </is>
      </c>
      <c r="I14" t="inlineStr">
        <is>
          <t>Male</t>
        </is>
      </c>
      <c r="J14" t="n">
        <v>28</v>
      </c>
      <c r="K14" t="inlineStr">
        <is>
          <t>(949) 416-8033</t>
        </is>
      </c>
      <c r="L14" t="inlineStr">
        <is>
          <t>shawn.le@thanhlechurch.com</t>
        </is>
      </c>
      <c r="M14" t="inlineStr">
        <is>
          <t>Tug-of-war</t>
        </is>
      </c>
      <c r="N14" t="inlineStr">
        <is>
          <t>Mixed</t>
        </is>
      </c>
      <c r="O14" t="inlineStr">
        <is>
          <t>Team</t>
        </is>
      </c>
      <c r="P14" t="inlineStr"/>
      <c r="Q14" t="inlineStr"/>
    </row>
  </sheetData>
  <autoFilter ref="A1:Q1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5" customWidth="1" min="11" max="11"/>
    <col width="6.5" customWidth="1" min="12" max="12"/>
    <col width="8" customWidth="1" min="13" max="13"/>
    <col width="5.5" customWidth="1" min="14" max="14"/>
    <col width="7" customWidth="1" min="15" max="15"/>
    <col width="6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TLC</t>
        </is>
      </c>
      <c r="B2" t="inlineStr">
        <is>
          <t>4361949</t>
        </is>
      </c>
      <c r="C2" t="inlineStr">
        <is>
          <t>30</t>
        </is>
      </c>
      <c r="D2" t="inlineStr">
        <is>
          <t>validated</t>
        </is>
      </c>
      <c r="E2" t="b">
        <v>1</v>
      </c>
      <c r="F2">
        <f>IMAGE("https://chmeetings.blob.core.windows.net/846969/attachments/Z3yem4f1HkKx9fc551NLNw/7bc871da-1eeb-4b72-9047-060bf53c9b05.jpg")</f>
        <v/>
      </c>
      <c r="G2" t="inlineStr">
        <is>
          <t>Gao Shan</t>
        </is>
      </c>
      <c r="H2" t="inlineStr">
        <is>
          <t>Male</t>
        </is>
      </c>
      <c r="I2" t="n">
        <v>23</v>
      </c>
      <c r="J2" t="inlineStr">
        <is>
          <t>(626) 861-8687</t>
        </is>
      </c>
      <c r="K2" t="inlineStr">
        <is>
          <t>w2801046931@gmail.com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James Nguyen</t>
        </is>
      </c>
    </row>
    <row r="3">
      <c r="A3" t="inlineStr">
        <is>
          <t>TLC</t>
        </is>
      </c>
      <c r="B3" t="inlineStr">
        <is>
          <t>3562839</t>
        </is>
      </c>
      <c r="C3" t="inlineStr">
        <is>
          <t>31</t>
        </is>
      </c>
      <c r="D3" t="inlineStr">
        <is>
          <t>pending_approval</t>
        </is>
      </c>
      <c r="E3" t="b">
        <v>1</v>
      </c>
      <c r="F3">
        <f>IMAGE("https://chmeetings.blob.core.windows.net/846969/attachments/YGg8n4kfIE6Jo6c8Uj0LMQ/267c68c0-1843-43e2-93a4-f5c795fb5c3f.jpg")</f>
        <v/>
      </c>
      <c r="G3" t="inlineStr">
        <is>
          <t>Le Shawn</t>
        </is>
      </c>
      <c r="H3" t="inlineStr">
        <is>
          <t>Male</t>
        </is>
      </c>
      <c r="I3" t="n">
        <v>28</v>
      </c>
      <c r="J3" t="inlineStr">
        <is>
          <t>(949) 416-8033</t>
        </is>
      </c>
      <c r="K3" t="inlineStr">
        <is>
          <t>shawn.le@thanhlechurch.com</t>
        </is>
      </c>
      <c r="L3" t="inlineStr">
        <is>
          <t>Badminton</t>
        </is>
      </c>
      <c r="M3" t="inlineStr">
        <is>
          <t>Men</t>
        </is>
      </c>
      <c r="N3" t="inlineStr">
        <is>
          <t>Doubles</t>
        </is>
      </c>
      <c r="O3" t="inlineStr"/>
      <c r="P3" t="inlineStr"/>
    </row>
    <row r="4">
      <c r="A4" t="inlineStr">
        <is>
          <t>TLC</t>
        </is>
      </c>
      <c r="B4" t="inlineStr">
        <is>
          <t>4361934</t>
        </is>
      </c>
      <c r="C4" t="inlineStr">
        <is>
          <t>28</t>
        </is>
      </c>
      <c r="D4" t="inlineStr">
        <is>
          <t>validated</t>
        </is>
      </c>
      <c r="E4" t="b">
        <v>1</v>
      </c>
      <c r="F4">
        <f>IMAGE("https://chmeetings.blob.core.windows.net/846969/attachments/1N8zi6qzvEuqeQtuOAnIA/db69b783-cf12-4974-9080-8a1301fb5ca9.jpg")</f>
        <v/>
      </c>
      <c r="G4" t="inlineStr">
        <is>
          <t>Nguyen James</t>
        </is>
      </c>
      <c r="H4" t="inlineStr">
        <is>
          <t>Male</t>
        </is>
      </c>
      <c r="I4" t="n">
        <v>22</v>
      </c>
      <c r="J4" t="inlineStr">
        <is>
          <t>(626) 227-4099</t>
        </is>
      </c>
      <c r="K4" t="inlineStr">
        <is>
          <t>nguyejames03@gmail.com</t>
        </is>
      </c>
      <c r="L4" t="inlineStr">
        <is>
          <t>Badminton</t>
        </is>
      </c>
      <c r="M4" t="inlineStr">
        <is>
          <t>Men</t>
        </is>
      </c>
      <c r="N4" t="inlineStr">
        <is>
          <t>Doubles</t>
        </is>
      </c>
      <c r="O4" t="inlineStr"/>
      <c r="P4" t="inlineStr">
        <is>
          <t>Shan Gao (Gary)</t>
        </is>
      </c>
    </row>
    <row r="5">
      <c r="A5" t="inlineStr">
        <is>
          <t>TLC</t>
        </is>
      </c>
      <c r="B5" t="inlineStr">
        <is>
          <t>4361933</t>
        </is>
      </c>
      <c r="C5" t="inlineStr">
        <is>
          <t>26</t>
        </is>
      </c>
      <c r="D5" t="inlineStr">
        <is>
          <t>validated</t>
        </is>
      </c>
      <c r="E5" t="b">
        <v>0</v>
      </c>
      <c r="F5">
        <f>IMAGE("https://chmeetings.blob.core.windows.net/846969/attachments/iz7lVTuVok6vCCLaDh89w/5c294fc1-1dd8-4abe-8c6d-053ac638f408.jpg")</f>
        <v/>
      </c>
      <c r="G5" t="inlineStr">
        <is>
          <t>Yun Hyewon</t>
        </is>
      </c>
      <c r="H5" t="inlineStr">
        <is>
          <t>Male</t>
        </is>
      </c>
      <c r="I5" t="n">
        <v>30</v>
      </c>
      <c r="J5" t="inlineStr">
        <is>
          <t>(714) 501-3313</t>
        </is>
      </c>
      <c r="K5" t="inlineStr">
        <is>
          <t>hyewonyun1996@gmail.com</t>
        </is>
      </c>
      <c r="L5" t="inlineStr">
        <is>
          <t>Badminton</t>
        </is>
      </c>
      <c r="M5" t="inlineStr">
        <is>
          <t>Men</t>
        </is>
      </c>
      <c r="N5" t="inlineStr">
        <is>
          <t>Doubles</t>
        </is>
      </c>
      <c r="O5" t="inlineStr"/>
      <c r="P5" t="inlineStr">
        <is>
          <t>Shawn Le</t>
        </is>
      </c>
    </row>
    <row r="6">
      <c r="A6" t="inlineStr">
        <is>
          <t>TLC</t>
        </is>
      </c>
      <c r="B6" t="inlineStr">
        <is>
          <t>3562839</t>
        </is>
      </c>
      <c r="C6" t="inlineStr">
        <is>
          <t>31</t>
        </is>
      </c>
      <c r="D6" t="inlineStr">
        <is>
          <t>pending_approval</t>
        </is>
      </c>
      <c r="E6" t="b">
        <v>1</v>
      </c>
      <c r="F6">
        <f>IMAGE("https://chmeetings.blob.core.windows.net/846969/attachments/YGg8n4kfIE6Jo6c8Uj0LMQ/267c68c0-1843-43e2-93a4-f5c795fb5c3f.jpg")</f>
        <v/>
      </c>
      <c r="G6" t="inlineStr">
        <is>
          <t>Le Shawn</t>
        </is>
      </c>
      <c r="H6" t="inlineStr">
        <is>
          <t>Male</t>
        </is>
      </c>
      <c r="I6" t="n">
        <v>28</v>
      </c>
      <c r="J6" t="inlineStr">
        <is>
          <t>(949) 416-8033</t>
        </is>
      </c>
      <c r="K6" t="inlineStr">
        <is>
          <t>shawn.le@thanhlechurch.com</t>
        </is>
      </c>
      <c r="L6" t="inlineStr">
        <is>
          <t>Badminton</t>
        </is>
      </c>
      <c r="M6" t="inlineStr">
        <is>
          <t>Mixed</t>
        </is>
      </c>
      <c r="N6" t="inlineStr">
        <is>
          <t>Doubles</t>
        </is>
      </c>
      <c r="O6" t="inlineStr"/>
      <c r="P6" t="inlineStr"/>
    </row>
  </sheetData>
  <autoFilter ref="A1:P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" customWidth="1" min="8" max="8"/>
    <col width="9" customWidth="1" min="9" max="9"/>
    <col width="9" customWidth="1" min="10" max="10"/>
    <col width="11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TLC</t>
        </is>
      </c>
      <c r="B2" t="inlineStr">
        <is>
          <t>3618802</t>
        </is>
      </c>
      <c r="C2" t="inlineStr">
        <is>
          <t>86</t>
        </is>
      </c>
      <c r="D2" t="inlineStr">
        <is>
          <t>validated</t>
        </is>
      </c>
      <c r="E2" t="b">
        <v>1</v>
      </c>
      <c r="F2">
        <f>IMAGE("https://chmeetings.blob.core.windows.net/846969/attachments/Nxtp9U9gCEiPsYqocAkaFg/2d0fe47c-8ab7-4c18-960f-181f8bdfeb61.jpg")</f>
        <v/>
      </c>
      <c r="G2" t="inlineStr">
        <is>
          <t>Dang Peter</t>
        </is>
      </c>
      <c r="H2" t="inlineStr">
        <is>
          <t>Male</t>
        </is>
      </c>
      <c r="I2" t="n">
        <v>26</v>
      </c>
      <c r="J2" t="inlineStr">
        <is>
          <t>(714) 589-7371</t>
        </is>
      </c>
      <c r="K2" t="inlineStr">
        <is>
          <t>Danghoaiminh@gmail.com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TLC</t>
        </is>
      </c>
      <c r="B3" t="inlineStr">
        <is>
          <t>3618801</t>
        </is>
      </c>
      <c r="C3" t="inlineStr">
        <is>
          <t>87</t>
        </is>
      </c>
      <c r="D3" t="inlineStr">
        <is>
          <t>validated</t>
        </is>
      </c>
      <c r="E3" t="b">
        <v>1</v>
      </c>
      <c r="F3">
        <f>IMAGE("https://chmeetings.blob.core.windows.net/846969/attachments/IGfWpmInt0CaKkM3u2CxkA/5fe96a31-6f8d-4c09-90f8-d4aafca24385.jpg")</f>
        <v/>
      </c>
      <c r="G3" t="inlineStr">
        <is>
          <t>Dang Thao</t>
        </is>
      </c>
      <c r="H3" t="inlineStr">
        <is>
          <t>Female</t>
        </is>
      </c>
      <c r="I3" t="n">
        <v>27</v>
      </c>
      <c r="J3" t="inlineStr">
        <is>
          <t>(714) 622-8253</t>
        </is>
      </c>
      <c r="K3" t="inlineStr">
        <is>
          <t>Thienthao6325@gmail.com</t>
        </is>
      </c>
      <c r="L3" t="inlineStr">
        <is>
          <t>Bible Challenge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TLC</t>
        </is>
      </c>
      <c r="B4" t="inlineStr">
        <is>
          <t>4361946</t>
        </is>
      </c>
      <c r="C4" t="inlineStr">
        <is>
          <t>27</t>
        </is>
      </c>
      <c r="D4" t="inlineStr">
        <is>
          <t>validated</t>
        </is>
      </c>
      <c r="E4" t="b">
        <v>1</v>
      </c>
      <c r="F4">
        <f>IMAGE("https://chmeetings.blob.core.windows.net/846969/attachments/XrueUAlMOUyouOnd0HI8YQ/b7be290e-2f7f-4b78-a624-0e1aebc0b779.jpg")</f>
        <v/>
      </c>
      <c r="G4" t="inlineStr">
        <is>
          <t>Le Ivan</t>
        </is>
      </c>
      <c r="H4" t="inlineStr">
        <is>
          <t>Male</t>
        </is>
      </c>
      <c r="I4" t="n">
        <v>21</v>
      </c>
      <c r="J4" t="inlineStr">
        <is>
          <t>(714) 804-4074</t>
        </is>
      </c>
      <c r="K4" t="inlineStr">
        <is>
          <t>ivan92708@gmail.com</t>
        </is>
      </c>
      <c r="L4" t="inlineStr">
        <is>
          <t>Bible Challenge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9.5" customWidth="1" min="7" max="7"/>
    <col width="5" customWidth="1" min="8" max="8"/>
    <col width="9" customWidth="1" min="9" max="9"/>
    <col width="9" customWidth="1" min="10" max="10"/>
    <col width="15" customWidth="1" min="11" max="11"/>
    <col width="13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TLC</t>
        </is>
      </c>
      <c r="B2" t="inlineStr">
        <is>
          <t>3562839</t>
        </is>
      </c>
      <c r="C2" t="inlineStr">
        <is>
          <t>31</t>
        </is>
      </c>
      <c r="D2" t="inlineStr">
        <is>
          <t>pending_approval</t>
        </is>
      </c>
      <c r="E2" t="b">
        <v>1</v>
      </c>
      <c r="F2">
        <f>IMAGE("https://chmeetings.blob.core.windows.net/846969/attachments/YGg8n4kfIE6Jo6c8Uj0LMQ/267c68c0-1843-43e2-93a4-f5c795fb5c3f.jpg")</f>
        <v/>
      </c>
      <c r="G2" t="inlineStr">
        <is>
          <t>Le Shawn</t>
        </is>
      </c>
      <c r="H2" t="inlineStr">
        <is>
          <t>Male</t>
        </is>
      </c>
      <c r="I2" t="n">
        <v>28</v>
      </c>
      <c r="J2" t="inlineStr">
        <is>
          <t>(949) 416-8033</t>
        </is>
      </c>
      <c r="K2" t="inlineStr">
        <is>
          <t>shawn.le@thanhlechurch.com</t>
        </is>
      </c>
      <c r="L2" t="inlineStr">
        <is>
          <t>Scripture Memorization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TLC</t>
        </is>
      </c>
      <c r="B3" t="inlineStr">
        <is>
          <t>4361932</t>
        </is>
      </c>
      <c r="C3" t="inlineStr">
        <is>
          <t>29</t>
        </is>
      </c>
      <c r="D3" t="inlineStr">
        <is>
          <t>pending</t>
        </is>
      </c>
      <c r="E3" t="b">
        <v>1</v>
      </c>
      <c r="F3">
        <f>IMAGE("https://chmeetings.blob.core.windows.net/846969/attachments/W9bzGDguQE6bvmSS8yK6g/23dde69a-d336-4d13-92cf-2f47abb43685.jpg")</f>
        <v/>
      </c>
      <c r="G3" t="inlineStr">
        <is>
          <t>Nguyen Michelle</t>
        </is>
      </c>
      <c r="H3" t="inlineStr">
        <is>
          <t>Female</t>
        </is>
      </c>
      <c r="I3" t="n">
        <v>13</v>
      </c>
      <c r="J3" t="inlineStr">
        <is>
          <t>(714) 466-5359</t>
        </is>
      </c>
      <c r="K3" t="inlineStr">
        <is>
          <t>michellephuongng@gmail.com</t>
        </is>
      </c>
      <c r="L3" t="inlineStr">
        <is>
          <t>Scripture Memorization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5" customWidth="1" min="11" max="11"/>
    <col width="14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TLC</t>
        </is>
      </c>
      <c r="B2" t="inlineStr">
        <is>
          <t>3562839</t>
        </is>
      </c>
      <c r="C2" t="inlineStr">
        <is>
          <t>31</t>
        </is>
      </c>
      <c r="D2" t="inlineStr">
        <is>
          <t>pending_approval</t>
        </is>
      </c>
      <c r="E2" t="b">
        <v>1</v>
      </c>
      <c r="F2">
        <f>IMAGE("https://chmeetings.blob.core.windows.net/846969/attachments/YGg8n4kfIE6Jo6c8Uj0LMQ/267c68c0-1843-43e2-93a4-f5c795fb5c3f.jpg")</f>
        <v/>
      </c>
      <c r="G2" t="inlineStr">
        <is>
          <t>Le Shawn</t>
        </is>
      </c>
      <c r="H2" t="inlineStr">
        <is>
          <t>Male</t>
        </is>
      </c>
      <c r="I2" t="n">
        <v>28</v>
      </c>
      <c r="J2" t="inlineStr">
        <is>
          <t>(949) 416-8033</t>
        </is>
      </c>
      <c r="K2" t="inlineStr">
        <is>
          <t>shawn.le@thanhlechurch.com</t>
        </is>
      </c>
      <c r="L2" t="inlineStr">
        <is>
          <t>Soccer - Coed Exhibition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5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TLC</t>
        </is>
      </c>
      <c r="B2" t="inlineStr">
        <is>
          <t>3562839</t>
        </is>
      </c>
      <c r="C2" t="inlineStr">
        <is>
          <t>31</t>
        </is>
      </c>
      <c r="D2" t="inlineStr">
        <is>
          <t>pending_approval</t>
        </is>
      </c>
      <c r="E2" t="b">
        <v>1</v>
      </c>
      <c r="F2">
        <f>IMAGE("https://chmeetings.blob.core.windows.net/846969/attachments/YGg8n4kfIE6Jo6c8Uj0LMQ/267c68c0-1843-43e2-93a4-f5c795fb5c3f.jpg")</f>
        <v/>
      </c>
      <c r="G2" t="inlineStr">
        <is>
          <t>Le Shawn</t>
        </is>
      </c>
      <c r="H2" t="inlineStr">
        <is>
          <t>Male</t>
        </is>
      </c>
      <c r="I2" t="n">
        <v>28</v>
      </c>
      <c r="J2" t="inlineStr">
        <is>
          <t>(949) 416-8033</t>
        </is>
      </c>
      <c r="K2" t="inlineStr">
        <is>
          <t>shawn.le@thanhlechurch.com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TLC</t>
        </is>
      </c>
      <c r="B2" t="inlineStr">
        <is>
          <t>3562839</t>
        </is>
      </c>
      <c r="C2" t="inlineStr">
        <is>
          <t>31</t>
        </is>
      </c>
      <c r="D2" t="inlineStr">
        <is>
          <t>pending_approval</t>
        </is>
      </c>
      <c r="E2" t="b">
        <v>1</v>
      </c>
      <c r="F2">
        <f>IMAGE("https://chmeetings.blob.core.windows.net/846969/attachments/YGg8n4kfIE6Jo6c8Uj0LMQ/267c68c0-1843-43e2-93a4-f5c795fb5c3f.jpg")</f>
        <v/>
      </c>
      <c r="G2" t="inlineStr">
        <is>
          <t>Le Shawn</t>
        </is>
      </c>
      <c r="H2" t="inlineStr">
        <is>
          <t>Male</t>
        </is>
      </c>
      <c r="I2" t="n">
        <v>28</v>
      </c>
      <c r="J2" t="inlineStr">
        <is>
          <t>(949) 416-8033</t>
        </is>
      </c>
      <c r="K2" t="inlineStr">
        <is>
          <t>shawn.le@thanhlechurch.com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2026-05-04T14:05:29Z</dcterms:created>
  <dcterms:modified xmlns:dcterms="http://purl.org/dc/terms/" xmlns:xsi="http://www.w3.org/2001/XMLSchema-instance" xsi:type="dcterms:W3CDTF">2026-05-04T14:05:29Z</dcterms:modified>
</cp:coreProperties>
</file>