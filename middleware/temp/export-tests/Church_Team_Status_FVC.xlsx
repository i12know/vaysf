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adminton" sheetId="4" state="visible" r:id="rId4"/>
    <sheet xmlns:r="http://schemas.openxmlformats.org/officeDocument/2006/relationships" name="Basketball" sheetId="5" state="visible" r:id="rId5"/>
    <sheet xmlns:r="http://schemas.openxmlformats.org/officeDocument/2006/relationships" name="Pickleball" sheetId="6" state="visible" r:id="rId6"/>
    <sheet xmlns:r="http://schemas.openxmlformats.org/officeDocument/2006/relationships" name="Table Tennis" sheetId="7" state="visible" r:id="rId7"/>
    <sheet xmlns:r="http://schemas.openxmlformats.org/officeDocument/2006/relationships" name="VB Men" sheetId="8" state="visible" r:id="rId8"/>
    <sheet xmlns:r="http://schemas.openxmlformats.org/officeDocument/2006/relationships" name="VB Women" sheetId="9" state="visible" r:id="rId9"/>
  </sheets>
  <definedNames>
    <definedName name="_xlnm._FilterDatabase" localSheetId="0" hidden="1">'Summary'!$A$1:$H$2</definedName>
    <definedName name="_xlnm._FilterDatabase" localSheetId="1" hidden="1">'Contacts-Status'!$A$1:$W$14</definedName>
    <definedName name="_xlnm._FilterDatabase" localSheetId="2" hidden="1">'Roster'!$A$1:$Q$16</definedName>
    <definedName name="_xlnm._FilterDatabase" localSheetId="3" hidden="1">'Badminton'!$A$1:$P$2</definedName>
    <definedName name="_xlnm._FilterDatabase" localSheetId="4" hidden="1">'Basketball'!$A$1:$P$5</definedName>
    <definedName name="_xlnm._FilterDatabase" localSheetId="5" hidden="1">'Pickleball'!$A$1:$P$2</definedName>
    <definedName name="_xlnm._FilterDatabase" localSheetId="6" hidden="1">'Table Tennis'!$A$1:$P$2</definedName>
    <definedName name="_xlnm._FilterDatabase" localSheetId="7" hidden="1">'VB Men'!$A$1:$P$7</definedName>
    <definedName name="_xlnm._FilterDatabase" localSheetId="8" hidden="1">'VB Women'!$A$1:$P$3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FVC</t>
        </is>
      </c>
      <c r="B2" t="n">
        <v>13</v>
      </c>
      <c r="C2" t="n">
        <v>13</v>
      </c>
      <c r="D2" t="n">
        <v>0</v>
      </c>
      <c r="E2" t="n">
        <v>13</v>
      </c>
      <c r="F2" t="n">
        <v>0</v>
      </c>
      <c r="G2" t="n">
        <v>0</v>
      </c>
      <c r="H2" t="inlineStr">
        <is>
          <t>2026-05-03 22:02:41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5" customWidth="1" min="3" max="3"/>
    <col width="4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9" customWidth="1" min="13" max="13"/>
    <col width="12.5" customWidth="1" min="14" max="14"/>
    <col width="1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FVC</t>
        </is>
      </c>
      <c r="B2" t="inlineStr">
        <is>
          <t>3610876</t>
        </is>
      </c>
      <c r="C2" t="inlineStr">
        <is>
          <t>Christian</t>
        </is>
      </c>
      <c r="D2" t="inlineStr">
        <is>
          <t>Kadowaki</t>
        </is>
      </c>
      <c r="E2" t="inlineStr">
        <is>
          <t>Yes</t>
        </is>
      </c>
      <c r="F2" t="inlineStr">
        <is>
          <t>Yes</t>
        </is>
      </c>
      <c r="G2" t="inlineStr">
        <is>
          <t>63</t>
        </is>
      </c>
      <c r="H2" t="inlineStr">
        <is>
          <t>validated</t>
        </is>
      </c>
      <c r="I2" t="n">
        <v>0</v>
      </c>
      <c r="J2" t="inlineStr">
        <is>
          <t>Male</t>
        </is>
      </c>
      <c r="K2" t="inlineStr">
        <is>
          <t>2001-04-02</t>
        </is>
      </c>
      <c r="L2" t="n">
        <v>25</v>
      </c>
      <c r="M2" t="inlineStr">
        <is>
          <t>(714) 916-8835</t>
        </is>
      </c>
      <c r="N2" t="inlineStr">
        <is>
          <t>Christian.kadowaki@gmail.com</t>
        </is>
      </c>
      <c r="O2" t="inlineStr"/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HYPERLINK("https://chmeetings.blob.core.windows.net/846969/attachments/n1Hofh79IUm5BWBzi2R7Q/8fe13634-0662-46ec-bdb6-4b8b957d6ee6.jpg", "https://chmeetings.blob.core.windows.net/846969/attachments/n1Hofh79IUm5BWBzi2R7Q/8fe13634-0662-46ec-bdb6-4b8b957d6ee6.jpg")</f>
        <v/>
      </c>
      <c r="W2" t="inlineStr">
        <is>
          <t>2026-05-02 19:58:37</t>
        </is>
      </c>
    </row>
    <row r="3">
      <c r="A3" t="inlineStr">
        <is>
          <t>FVC</t>
        </is>
      </c>
      <c r="B3" t="inlineStr">
        <is>
          <t>3627369</t>
        </is>
      </c>
      <c r="C3" t="inlineStr">
        <is>
          <t>Andrew</t>
        </is>
      </c>
      <c r="D3" t="inlineStr">
        <is>
          <t>Ly</t>
        </is>
      </c>
      <c r="E3" t="inlineStr">
        <is>
          <t>Yes</t>
        </is>
      </c>
      <c r="F3" t="inlineStr">
        <is>
          <t>Yes</t>
        </is>
      </c>
      <c r="G3" t="inlineStr">
        <is>
          <t>123</t>
        </is>
      </c>
      <c r="H3" t="inlineStr">
        <is>
          <t>validated</t>
        </is>
      </c>
      <c r="I3" t="n">
        <v>0</v>
      </c>
      <c r="J3" t="inlineStr">
        <is>
          <t>Male</t>
        </is>
      </c>
      <c r="K3" t="inlineStr">
        <is>
          <t>2003-12-26</t>
        </is>
      </c>
      <c r="L3" t="n">
        <v>22</v>
      </c>
      <c r="M3" t="inlineStr">
        <is>
          <t>(818) 818-2168</t>
        </is>
      </c>
      <c r="N3" t="inlineStr">
        <is>
          <t>andrewbenjily@gmail.com</t>
        </is>
      </c>
      <c r="O3" t="inlineStr"/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HYPERLINK("https://chmeetings.blob.core.windows.net/846969/attachments/t481xJpLEm6DJ1S3KMOw/c689801f-da1e-4bd9-93e3-e81c0fd45646.jpg", "https://chmeetings.blob.core.windows.net/846969/attachments/t481xJpLEm6DJ1S3KMOw/c689801f-da1e-4bd9-93e3-e81c0fd45646.jpg")</f>
        <v/>
      </c>
      <c r="W3" t="inlineStr">
        <is>
          <t>2026-05-03 22:02:03</t>
        </is>
      </c>
    </row>
    <row r="4">
      <c r="A4" t="inlineStr">
        <is>
          <t>FVC</t>
        </is>
      </c>
      <c r="B4" t="inlineStr">
        <is>
          <t>3632512</t>
        </is>
      </c>
      <c r="C4" t="inlineStr">
        <is>
          <t>Benjamin</t>
        </is>
      </c>
      <c r="D4" t="inlineStr">
        <is>
          <t>Ly</t>
        </is>
      </c>
      <c r="E4" t="inlineStr">
        <is>
          <t>Yes</t>
        </is>
      </c>
      <c r="F4" t="inlineStr">
        <is>
          <t>Yes</t>
        </is>
      </c>
      <c r="G4" t="inlineStr">
        <is>
          <t>124</t>
        </is>
      </c>
      <c r="H4" t="inlineStr">
        <is>
          <t>validated</t>
        </is>
      </c>
      <c r="I4" t="n">
        <v>0</v>
      </c>
      <c r="J4" t="inlineStr">
        <is>
          <t>Male</t>
        </is>
      </c>
      <c r="K4" t="inlineStr">
        <is>
          <t>2006-11-23</t>
        </is>
      </c>
      <c r="L4" t="n">
        <v>19</v>
      </c>
      <c r="M4" t="inlineStr">
        <is>
          <t>(818) 818-0156</t>
        </is>
      </c>
      <c r="N4" t="inlineStr">
        <is>
          <t>benjaminandrewly@gmail.com</t>
        </is>
      </c>
      <c r="O4" t="inlineStr"/>
      <c r="P4" t="inlineStr"/>
      <c r="Q4" t="inlineStr"/>
      <c r="R4" t="inlineStr"/>
      <c r="S4" t="inlineStr"/>
      <c r="T4" t="inlineStr"/>
      <c r="U4" t="inlineStr"/>
      <c r="V4">
        <f>HYPERLINK("https://chmeetings.blob.core.windows.net/846969/attachments/GgPuAWUyd0CYczyLH9zVPA/3e25232f-7533-4819-8952-60c539b8dcfc.jpg", "https://chmeetings.blob.core.windows.net/846969/attachments/GgPuAWUyd0CYczyLH9zVPA/3e25232f-7533-4819-8952-60c539b8dcfc.jpg")</f>
        <v/>
      </c>
      <c r="W4" t="inlineStr">
        <is>
          <t>2026-05-03 22:02:23</t>
        </is>
      </c>
    </row>
    <row r="5">
      <c r="A5" t="inlineStr">
        <is>
          <t>FVC</t>
        </is>
      </c>
      <c r="B5" t="inlineStr">
        <is>
          <t>3623916</t>
        </is>
      </c>
      <c r="C5" t="inlineStr">
        <is>
          <t>Matthew</t>
        </is>
      </c>
      <c r="D5" t="inlineStr">
        <is>
          <t>Miyagishima</t>
        </is>
      </c>
      <c r="E5" t="inlineStr">
        <is>
          <t>Yes</t>
        </is>
      </c>
      <c r="F5" t="inlineStr">
        <is>
          <t>Yes</t>
        </is>
      </c>
      <c r="G5" t="inlineStr">
        <is>
          <t>66</t>
        </is>
      </c>
      <c r="H5" t="inlineStr">
        <is>
          <t>validated</t>
        </is>
      </c>
      <c r="I5" t="n">
        <v>0</v>
      </c>
      <c r="J5" t="inlineStr">
        <is>
          <t>Male</t>
        </is>
      </c>
      <c r="K5" t="inlineStr">
        <is>
          <t>1998-05-17</t>
        </is>
      </c>
      <c r="L5" t="n">
        <v>28</v>
      </c>
      <c r="M5" t="inlineStr">
        <is>
          <t>(714) 749-8210</t>
        </is>
      </c>
      <c r="N5" t="inlineStr">
        <is>
          <t>mmiyagishima16@gmail.com</t>
        </is>
      </c>
      <c r="O5" t="inlineStr"/>
      <c r="P5" t="inlineStr"/>
      <c r="Q5" t="inlineStr"/>
      <c r="R5" t="inlineStr"/>
      <c r="S5" t="inlineStr"/>
      <c r="T5" t="inlineStr"/>
      <c r="U5" t="inlineStr"/>
      <c r="V5">
        <f>HYPERLINK("https://chmeetings.blob.core.windows.net/846969/attachments/fYvFpOHviEe0wHVMPzacZw/6a6ff4b5-bd9f-4624-ada9-8744e2a5f857.jpg", "https://chmeetings.blob.core.windows.net/846969/attachments/fYvFpOHviEe0wHVMPzacZw/6a6ff4b5-bd9f-4624-ada9-8744e2a5f857.jpg")</f>
        <v/>
      </c>
      <c r="W5" t="inlineStr">
        <is>
          <t>2026-05-02 19:58:52</t>
        </is>
      </c>
    </row>
    <row r="6">
      <c r="A6" t="inlineStr">
        <is>
          <t>FVC</t>
        </is>
      </c>
      <c r="B6" t="inlineStr">
        <is>
          <t>3610914</t>
        </is>
      </c>
      <c r="C6" t="inlineStr">
        <is>
          <t>Isaiah</t>
        </is>
      </c>
      <c r="D6" t="inlineStr">
        <is>
          <t>Nguyen</t>
        </is>
      </c>
      <c r="E6" t="inlineStr">
        <is>
          <t>Yes</t>
        </is>
      </c>
      <c r="F6" t="inlineStr">
        <is>
          <t>Yes</t>
        </is>
      </c>
      <c r="G6" t="inlineStr">
        <is>
          <t>64</t>
        </is>
      </c>
      <c r="H6" t="inlineStr">
        <is>
          <t>validated</t>
        </is>
      </c>
      <c r="I6" t="n">
        <v>0</v>
      </c>
      <c r="J6" t="inlineStr">
        <is>
          <t>Male</t>
        </is>
      </c>
      <c r="K6" t="inlineStr">
        <is>
          <t>2003-06-06</t>
        </is>
      </c>
      <c r="L6" t="n">
        <v>23</v>
      </c>
      <c r="M6" t="inlineStr">
        <is>
          <t>(804) 549-2196</t>
        </is>
      </c>
      <c r="N6" t="inlineStr">
        <is>
          <t>Mylife2ezz@gmail.com</t>
        </is>
      </c>
      <c r="O6" t="inlineStr"/>
      <c r="P6" t="inlineStr"/>
      <c r="Q6" t="inlineStr"/>
      <c r="R6" t="inlineStr"/>
      <c r="S6" t="inlineStr"/>
      <c r="T6" t="inlineStr"/>
      <c r="U6" t="inlineStr"/>
      <c r="V6">
        <f>HYPERLINK("https://chmeetings.blob.core.windows.net/846969/attachments/lN4DcHc006cgfECjmFHA/ffef9c1f-80b5-4973-9c35-271cc20fcf5b.jpg", "https://chmeetings.blob.core.windows.net/846969/attachments/lN4DcHc006cgfECjmFHA/ffef9c1f-80b5-4973-9c35-271cc20fcf5b.jpg")</f>
        <v/>
      </c>
      <c r="W6" t="inlineStr">
        <is>
          <t>2026-05-02 20:11:34</t>
        </is>
      </c>
    </row>
    <row r="7">
      <c r="A7" t="inlineStr">
        <is>
          <t>FVC</t>
        </is>
      </c>
      <c r="B7" t="inlineStr">
        <is>
          <t>3624648</t>
        </is>
      </c>
      <c r="C7" t="inlineStr">
        <is>
          <t>Justin</t>
        </is>
      </c>
      <c r="D7" t="inlineStr">
        <is>
          <t>Nguyen</t>
        </is>
      </c>
      <c r="E7" t="inlineStr">
        <is>
          <t>Yes</t>
        </is>
      </c>
      <c r="F7" t="inlineStr">
        <is>
          <t>Yes</t>
        </is>
      </c>
      <c r="G7" t="inlineStr">
        <is>
          <t>127</t>
        </is>
      </c>
      <c r="H7" t="inlineStr">
        <is>
          <t>validated</t>
        </is>
      </c>
      <c r="I7" t="n">
        <v>0</v>
      </c>
      <c r="J7" t="inlineStr">
        <is>
          <t>Male</t>
        </is>
      </c>
      <c r="K7" t="inlineStr">
        <is>
          <t>2003-05-04</t>
        </is>
      </c>
      <c r="L7" t="n">
        <v>23</v>
      </c>
      <c r="M7" t="inlineStr">
        <is>
          <t>(951) 496-9385</t>
        </is>
      </c>
      <c r="N7" t="inlineStr">
        <is>
          <t>justinqnguyen3@gmail.com</t>
        </is>
      </c>
      <c r="O7" t="inlineStr"/>
      <c r="P7" t="inlineStr"/>
      <c r="Q7" t="inlineStr"/>
      <c r="R7" t="inlineStr"/>
      <c r="S7" t="inlineStr"/>
      <c r="T7" t="inlineStr"/>
      <c r="U7" t="inlineStr"/>
      <c r="V7">
        <f>HYPERLINK("https://chmeetings.blob.core.windows.net/846969/attachments/qj11d0mfBkIH30v4IwKQ/8cb9a967-e055-467f-a161-492dfc732b2c.jpg", "https://chmeetings.blob.core.windows.net/846969/attachments/qj11d0mfBkIH30v4IwKQ/8cb9a967-e055-467f-a161-492dfc732b2c.jpg")</f>
        <v/>
      </c>
      <c r="W7" t="inlineStr">
        <is>
          <t>2026-05-03 22:02:41</t>
        </is>
      </c>
    </row>
    <row r="8">
      <c r="A8" t="inlineStr">
        <is>
          <t>FVC</t>
        </is>
      </c>
      <c r="B8" t="inlineStr">
        <is>
          <t>3623917</t>
        </is>
      </c>
      <c r="C8" t="inlineStr">
        <is>
          <t>Kevin</t>
        </is>
      </c>
      <c r="D8" t="inlineStr">
        <is>
          <t>Nguyen</t>
        </is>
      </c>
      <c r="E8" t="inlineStr">
        <is>
          <t>Yes</t>
        </is>
      </c>
      <c r="F8" t="inlineStr">
        <is>
          <t>Yes</t>
        </is>
      </c>
      <c r="G8" t="inlineStr">
        <is>
          <t>65</t>
        </is>
      </c>
      <c r="H8" t="inlineStr">
        <is>
          <t>validated</t>
        </is>
      </c>
      <c r="I8" t="n">
        <v>0</v>
      </c>
      <c r="J8" t="inlineStr">
        <is>
          <t>Male</t>
        </is>
      </c>
      <c r="K8" t="inlineStr">
        <is>
          <t>2001-04-15</t>
        </is>
      </c>
      <c r="L8" t="n">
        <v>25</v>
      </c>
      <c r="M8" t="inlineStr">
        <is>
          <t>(657) 259-7371</t>
        </is>
      </c>
      <c r="N8" t="inlineStr">
        <is>
          <t>kevinvnguyen15@gmail.com</t>
        </is>
      </c>
      <c r="O8" t="inlineStr"/>
      <c r="P8" t="inlineStr"/>
      <c r="Q8" t="inlineStr"/>
      <c r="R8" t="inlineStr"/>
      <c r="S8" t="inlineStr"/>
      <c r="T8" t="inlineStr"/>
      <c r="U8" t="inlineStr"/>
      <c r="V8">
        <f>HYPERLINK("https://chmeetings.blob.core.windows.net/846969/attachments/RsVvSMjIZEOg4jtrF5I5gg/708cb162-46ad-468f-b540-1209616245c2.jpg", "https://chmeetings.blob.core.windows.net/846969/attachments/RsVvSMjIZEOg4jtrF5I5gg/708cb162-46ad-468f-b540-1209616245c2.jpg")</f>
        <v/>
      </c>
      <c r="W8" t="inlineStr">
        <is>
          <t>2026-05-02 19:59:20</t>
        </is>
      </c>
    </row>
    <row r="9">
      <c r="A9" t="inlineStr">
        <is>
          <t>FVC</t>
        </is>
      </c>
      <c r="B9" t="inlineStr">
        <is>
          <t>3623920</t>
        </is>
      </c>
      <c r="C9" t="inlineStr">
        <is>
          <t>Austin</t>
        </is>
      </c>
      <c r="D9" t="inlineStr">
        <is>
          <t>Ninh</t>
        </is>
      </c>
      <c r="E9" t="inlineStr">
        <is>
          <t>Yes</t>
        </is>
      </c>
      <c r="F9" t="inlineStr">
        <is>
          <t>No</t>
        </is>
      </c>
      <c r="G9" t="inlineStr">
        <is>
          <t>61</t>
        </is>
      </c>
      <c r="H9" t="inlineStr">
        <is>
          <t>validated</t>
        </is>
      </c>
      <c r="I9" t="n">
        <v>0</v>
      </c>
      <c r="J9" t="inlineStr">
        <is>
          <t>Male</t>
        </is>
      </c>
      <c r="K9" t="inlineStr">
        <is>
          <t>2002-12-30</t>
        </is>
      </c>
      <c r="L9" t="n">
        <v>23</v>
      </c>
      <c r="M9" t="inlineStr">
        <is>
          <t>(714) 804-2815</t>
        </is>
      </c>
      <c r="N9" t="inlineStr">
        <is>
          <t>austin92841@gmail.com</t>
        </is>
      </c>
      <c r="O9" t="inlineStr"/>
      <c r="P9" t="inlineStr"/>
      <c r="Q9" t="inlineStr"/>
      <c r="R9" t="inlineStr"/>
      <c r="S9" t="inlineStr"/>
      <c r="T9" t="inlineStr"/>
      <c r="U9" t="inlineStr"/>
      <c r="V9">
        <f>HYPERLINK("https://chmeetings.blob.core.windows.net/846969/attachments/M6A5b0NLrkOaM0d7HnpXzg/da62a76a-746b-41fc-a40a-dd4fcbe3e398.jpg", "https://chmeetings.blob.core.windows.net/846969/attachments/M6A5b0NLrkOaM0d7HnpXzg/da62a76a-746b-41fc-a40a-dd4fcbe3e398.jpg")</f>
        <v/>
      </c>
      <c r="W9" t="inlineStr">
        <is>
          <t>2026-05-02 19:58:16</t>
        </is>
      </c>
    </row>
    <row r="10">
      <c r="A10" t="inlineStr">
        <is>
          <t>FVC</t>
        </is>
      </c>
      <c r="B10" t="inlineStr">
        <is>
          <t>3631513</t>
        </is>
      </c>
      <c r="C10" t="inlineStr">
        <is>
          <t>Brianna</t>
        </is>
      </c>
      <c r="D10" t="inlineStr">
        <is>
          <t>Pham</t>
        </is>
      </c>
      <c r="E10" t="inlineStr">
        <is>
          <t>Yes</t>
        </is>
      </c>
      <c r="F10" t="inlineStr">
        <is>
          <t>Yes</t>
        </is>
      </c>
      <c r="G10" t="inlineStr">
        <is>
          <t>125</t>
        </is>
      </c>
      <c r="H10" t="inlineStr">
        <is>
          <t>validated</t>
        </is>
      </c>
      <c r="I10" t="n">
        <v>0</v>
      </c>
      <c r="J10" t="inlineStr">
        <is>
          <t>Female</t>
        </is>
      </c>
      <c r="K10" t="inlineStr">
        <is>
          <t>2000-03-24</t>
        </is>
      </c>
      <c r="L10" t="n">
        <v>26</v>
      </c>
      <c r="M10" t="inlineStr">
        <is>
          <t>(714) 622-9590</t>
        </is>
      </c>
      <c r="N10" t="inlineStr">
        <is>
          <t>briannajpham@gmail.com</t>
        </is>
      </c>
      <c r="O10" t="inlineStr"/>
      <c r="P10" t="inlineStr"/>
      <c r="Q10" t="inlineStr"/>
      <c r="R10" t="inlineStr"/>
      <c r="S10" t="inlineStr"/>
      <c r="T10" t="inlineStr"/>
      <c r="U10" t="inlineStr"/>
      <c r="V10">
        <f>HYPERLINK("https://chmeetings.blob.core.windows.net/846969/attachments/LctiwClonEOGNeDDzhDfLQ/1737a3f3-5776-4b28-84cd-1539661ebad3.jpg", "https://chmeetings.blob.core.windows.net/846969/attachments/LctiwClonEOGNeDDzhDfLQ/1737a3f3-5776-4b28-84cd-1539661ebad3.jpg")</f>
        <v/>
      </c>
      <c r="W10" t="inlineStr">
        <is>
          <t>2026-05-03 22:02:32</t>
        </is>
      </c>
    </row>
    <row r="11">
      <c r="A11" t="inlineStr">
        <is>
          <t>FVC</t>
        </is>
      </c>
      <c r="B11" t="inlineStr">
        <is>
          <t>3631514</t>
        </is>
      </c>
      <c r="C11" t="inlineStr">
        <is>
          <t>Evan</t>
        </is>
      </c>
      <c r="D11" t="inlineStr">
        <is>
          <t>Pham</t>
        </is>
      </c>
      <c r="E11" t="inlineStr">
        <is>
          <t>Yes</t>
        </is>
      </c>
      <c r="F11" t="inlineStr">
        <is>
          <t>Yes</t>
        </is>
      </c>
      <c r="G11" t="inlineStr">
        <is>
          <t>126</t>
        </is>
      </c>
      <c r="H11" t="inlineStr">
        <is>
          <t>validated</t>
        </is>
      </c>
      <c r="I11" t="n">
        <v>0</v>
      </c>
      <c r="J11" t="inlineStr">
        <is>
          <t>Male</t>
        </is>
      </c>
      <c r="K11" t="inlineStr">
        <is>
          <t>2006-10-05</t>
        </is>
      </c>
      <c r="L11" t="n">
        <v>19</v>
      </c>
      <c r="M11" t="inlineStr">
        <is>
          <t>(714) 657-5917</t>
        </is>
      </c>
      <c r="N11" t="inlineStr">
        <is>
          <t>evanjpham@gmail.com</t>
        </is>
      </c>
      <c r="O11" t="inlineStr"/>
      <c r="P11" t="inlineStr"/>
      <c r="Q11" t="inlineStr"/>
      <c r="R11" t="inlineStr"/>
      <c r="S11" t="inlineStr"/>
      <c r="T11" t="inlineStr"/>
      <c r="U11" t="inlineStr"/>
      <c r="V11">
        <f>HYPERLINK("https://chmeetings.blob.core.windows.net/846969/attachments/HXcI779CL0aJOqFhGcSWLA/23e4d46f-117e-46f1-82af-bf51c169d43b.jpg", "https://chmeetings.blob.core.windows.net/846969/attachments/HXcI779CL0aJOqFhGcSWLA/23e4d46f-117e-46f1-82af-bf51c169d43b.jpg")</f>
        <v/>
      </c>
      <c r="W11" t="inlineStr">
        <is>
          <t>2026-05-03 22:02:14</t>
        </is>
      </c>
    </row>
    <row r="12">
      <c r="A12" t="inlineStr">
        <is>
          <t>FVC</t>
        </is>
      </c>
      <c r="B12" t="inlineStr">
        <is>
          <t>3631886</t>
        </is>
      </c>
      <c r="C12" t="inlineStr">
        <is>
          <t>Theresa</t>
        </is>
      </c>
      <c r="D12" t="inlineStr">
        <is>
          <t>Tran</t>
        </is>
      </c>
      <c r="E12" t="inlineStr">
        <is>
          <t>Yes</t>
        </is>
      </c>
      <c r="F12" t="inlineStr">
        <is>
          <t>Yes</t>
        </is>
      </c>
      <c r="G12" t="inlineStr">
        <is>
          <t>68</t>
        </is>
      </c>
      <c r="H12" t="inlineStr">
        <is>
          <t>validated</t>
        </is>
      </c>
      <c r="I12" t="n">
        <v>0</v>
      </c>
      <c r="J12" t="inlineStr">
        <is>
          <t>Female</t>
        </is>
      </c>
      <c r="K12" t="inlineStr">
        <is>
          <t>1995-05-31</t>
        </is>
      </c>
      <c r="L12" t="n">
        <v>31</v>
      </c>
      <c r="M12" t="inlineStr">
        <is>
          <t>(714) 386-8878</t>
        </is>
      </c>
      <c r="N12" t="inlineStr">
        <is>
          <t>choochootrann@csu.fullerton.edu</t>
        </is>
      </c>
      <c r="O12" t="inlineStr"/>
      <c r="P12" t="inlineStr"/>
      <c r="Q12" t="inlineStr"/>
      <c r="R12" t="inlineStr"/>
      <c r="S12" t="inlineStr"/>
      <c r="T12" t="inlineStr"/>
      <c r="U12" t="inlineStr"/>
      <c r="V12">
        <f>HYPERLINK("https://chmeetings.blob.core.windows.net/846969/attachments/DkJl6YJH8U2PP1rKWS5Uw/061b8791-e127-4834-bc55-a904d4dd79a2.jpg", "https://chmeetings.blob.core.windows.net/846969/attachments/DkJl6YJH8U2PP1rKWS5Uw/061b8791-e127-4834-bc55-a904d4dd79a2.jpg")</f>
        <v/>
      </c>
      <c r="W12" t="inlineStr">
        <is>
          <t>2026-05-02 19:59:34</t>
        </is>
      </c>
    </row>
    <row r="13">
      <c r="A13" t="inlineStr">
        <is>
          <t>FVC</t>
        </is>
      </c>
      <c r="B13" t="inlineStr">
        <is>
          <t>3635284</t>
        </is>
      </c>
      <c r="C13" t="inlineStr">
        <is>
          <t>Boi Boi</t>
        </is>
      </c>
      <c r="D13" t="inlineStr">
        <is>
          <t>Vo</t>
        </is>
      </c>
      <c r="E13" t="inlineStr">
        <is>
          <t>Yes</t>
        </is>
      </c>
      <c r="F13" t="inlineStr">
        <is>
          <t>Yes</t>
        </is>
      </c>
      <c r="G13" t="inlineStr">
        <is>
          <t>62</t>
        </is>
      </c>
      <c r="H13" t="inlineStr">
        <is>
          <t>validated</t>
        </is>
      </c>
      <c r="I13" t="n">
        <v>0</v>
      </c>
      <c r="J13" t="inlineStr">
        <is>
          <t>Male</t>
        </is>
      </c>
      <c r="K13" t="inlineStr">
        <is>
          <t>2007-07-10</t>
        </is>
      </c>
      <c r="L13" t="n">
        <v>19</v>
      </c>
      <c r="M13" t="inlineStr">
        <is>
          <t>(657) 340-9539</t>
        </is>
      </c>
      <c r="N13" t="inlineStr">
        <is>
          <t>Boiiboivo@gmail.com</t>
        </is>
      </c>
      <c r="O13" t="inlineStr"/>
      <c r="P13" t="inlineStr"/>
      <c r="Q13" t="inlineStr"/>
      <c r="R13" t="inlineStr"/>
      <c r="S13" t="inlineStr"/>
      <c r="T13" t="inlineStr"/>
      <c r="U13" t="inlineStr"/>
      <c r="V13">
        <f>HYPERLINK("https://chmeetings.blob.core.windows.net/846969/attachments/LFoY7ApFX0iK7b8bAJ9IQ/5c24585e-77d3-4091-92bd-281bb4879e90.jpg", "https://chmeetings.blob.core.windows.net/846969/attachments/LFoY7ApFX0iK7b8bAJ9IQ/5c24585e-77d3-4091-92bd-281bb4879e90.jpg")</f>
        <v/>
      </c>
      <c r="W13" t="inlineStr">
        <is>
          <t>2026-05-02 19:57:54</t>
        </is>
      </c>
    </row>
    <row r="14">
      <c r="A14" t="inlineStr">
        <is>
          <t>FVC</t>
        </is>
      </c>
      <c r="B14" t="inlineStr">
        <is>
          <t>4361935</t>
        </is>
      </c>
      <c r="C14" t="inlineStr">
        <is>
          <t>Stephy</t>
        </is>
      </c>
      <c r="D14" t="inlineStr">
        <is>
          <t>Wang</t>
        </is>
      </c>
      <c r="E14" t="inlineStr">
        <is>
          <t>Yes</t>
        </is>
      </c>
      <c r="F14" t="inlineStr">
        <is>
          <t>No</t>
        </is>
      </c>
      <c r="G14" t="inlineStr">
        <is>
          <t>67</t>
        </is>
      </c>
      <c r="H14" t="inlineStr">
        <is>
          <t>validated</t>
        </is>
      </c>
      <c r="I14" t="n">
        <v>0</v>
      </c>
      <c r="J14" t="inlineStr">
        <is>
          <t>Female</t>
        </is>
      </c>
      <c r="K14" t="inlineStr">
        <is>
          <t>2001-11-07</t>
        </is>
      </c>
      <c r="L14" t="n">
        <v>24</v>
      </c>
      <c r="M14" t="inlineStr">
        <is>
          <t>(626) 497-4697</t>
        </is>
      </c>
      <c r="N14" t="inlineStr">
        <is>
          <t>Stephy12304@gmail.com</t>
        </is>
      </c>
      <c r="O14" t="inlineStr"/>
      <c r="P14" t="inlineStr"/>
      <c r="Q14" t="inlineStr"/>
      <c r="R14" t="inlineStr"/>
      <c r="S14" t="inlineStr"/>
      <c r="T14" t="inlineStr"/>
      <c r="U14" t="inlineStr"/>
      <c r="V14">
        <f>HYPERLINK("https://chmeetings.blob.core.windows.net/846969/attachments/R67AObtP0qrOKz5JMVug/8581a3f9-95f3-4d53-845b-829780445710.jpg", "https://chmeetings.blob.core.windows.net/846969/attachments/R67AObtP0qrOKz5JMVug/8581a3f9-95f3-4d53-845b-829780445710.jpg")</f>
        <v/>
      </c>
      <c r="W14" t="inlineStr">
        <is>
          <t>2026-05-02 19:51:59</t>
        </is>
      </c>
    </row>
  </sheetData>
  <autoFilter ref="A1:W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.5" customWidth="1" min="7" max="7"/>
    <col width="4" customWidth="1" min="8" max="8"/>
    <col width="5" customWidth="1" min="9" max="9"/>
    <col width="9" customWidth="1" min="10" max="10"/>
    <col width="9" customWidth="1" min="11" max="11"/>
    <col width="17.5" customWidth="1" min="12" max="12"/>
    <col width="7" customWidth="1" min="13" max="13"/>
    <col width="8" customWidth="1" min="14" max="14"/>
    <col width="4" customWidth="1" min="15" max="15"/>
    <col width="7" customWidth="1" min="16" max="16"/>
    <col width="8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FVC</t>
        </is>
      </c>
      <c r="B2" t="inlineStr">
        <is>
          <t>4361935</t>
        </is>
      </c>
      <c r="C2" t="inlineStr">
        <is>
          <t>67</t>
        </is>
      </c>
      <c r="D2" t="inlineStr">
        <is>
          <t>validated</t>
        </is>
      </c>
      <c r="E2" t="b">
        <v>0</v>
      </c>
      <c r="F2">
        <f>IMAGE("https://chmeetings.blob.core.windows.net/846969/attachments/R67AObtP0qrOKz5JMVug/8581a3f9-95f3-4d53-845b-829780445710.jpg")</f>
        <v/>
      </c>
      <c r="G2" t="inlineStr">
        <is>
          <t>Stephy</t>
        </is>
      </c>
      <c r="H2" t="inlineStr">
        <is>
          <t>Wang</t>
        </is>
      </c>
      <c r="I2" t="inlineStr">
        <is>
          <t>Female</t>
        </is>
      </c>
      <c r="J2" t="n">
        <v>24</v>
      </c>
      <c r="K2" t="inlineStr">
        <is>
          <t>(626) 497-4697</t>
        </is>
      </c>
      <c r="L2" t="inlineStr">
        <is>
          <t>Stephy12304@gmail.com</t>
        </is>
      </c>
      <c r="M2" t="inlineStr">
        <is>
          <t>Badminton</t>
        </is>
      </c>
      <c r="N2" t="inlineStr">
        <is>
          <t>Women</t>
        </is>
      </c>
      <c r="O2" t="inlineStr">
        <is>
          <t>Doubles</t>
        </is>
      </c>
      <c r="P2" t="inlineStr"/>
      <c r="Q2" t="inlineStr">
        <is>
          <t>Tina</t>
        </is>
      </c>
    </row>
    <row r="3">
      <c r="A3" t="inlineStr">
        <is>
          <t>FVC</t>
        </is>
      </c>
      <c r="B3" t="inlineStr">
        <is>
          <t>3623916</t>
        </is>
      </c>
      <c r="C3" t="inlineStr">
        <is>
          <t>66</t>
        </is>
      </c>
      <c r="D3" t="inlineStr">
        <is>
          <t>validated</t>
        </is>
      </c>
      <c r="E3" t="b">
        <v>1</v>
      </c>
      <c r="F3">
        <f>IMAGE("https://chmeetings.blob.core.windows.net/846969/attachments/fYvFpOHviEe0wHVMPzacZw/6a6ff4b5-bd9f-4624-ada9-8744e2a5f857.jpg")</f>
        <v/>
      </c>
      <c r="G3" t="inlineStr">
        <is>
          <t>Matthew</t>
        </is>
      </c>
      <c r="H3" t="inlineStr">
        <is>
          <t>Miyagishima</t>
        </is>
      </c>
      <c r="I3" t="inlineStr">
        <is>
          <t>Male</t>
        </is>
      </c>
      <c r="J3" t="n">
        <v>28</v>
      </c>
      <c r="K3" t="inlineStr">
        <is>
          <t>(714) 749-8210</t>
        </is>
      </c>
      <c r="L3" t="inlineStr">
        <is>
          <t>mmiyagishima16@gmail.com</t>
        </is>
      </c>
      <c r="M3" t="inlineStr">
        <is>
          <t>Basketball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FVC</t>
        </is>
      </c>
      <c r="B4" t="inlineStr">
        <is>
          <t>3624648</t>
        </is>
      </c>
      <c r="C4" t="inlineStr">
        <is>
          <t>127</t>
        </is>
      </c>
      <c r="D4" t="inlineStr">
        <is>
          <t>validated</t>
        </is>
      </c>
      <c r="E4" t="b">
        <v>1</v>
      </c>
      <c r="F4">
        <f>IMAGE("https://chmeetings.blob.core.windows.net/846969/attachments/qj11d0mfBkIH30v4IwKQ/8cb9a967-e055-467f-a161-492dfc732b2c.jpg")</f>
        <v/>
      </c>
      <c r="G4" t="inlineStr">
        <is>
          <t>Justin</t>
        </is>
      </c>
      <c r="H4" t="inlineStr">
        <is>
          <t>Nguyen</t>
        </is>
      </c>
      <c r="I4" t="inlineStr">
        <is>
          <t>Male</t>
        </is>
      </c>
      <c r="J4" t="n">
        <v>23</v>
      </c>
      <c r="K4" t="inlineStr">
        <is>
          <t>(951) 496-9385</t>
        </is>
      </c>
      <c r="L4" t="inlineStr">
        <is>
          <t>justinqnguyen3@gmail.com</t>
        </is>
      </c>
      <c r="M4" t="inlineStr">
        <is>
          <t>Basketball</t>
        </is>
      </c>
      <c r="N4" t="inlineStr">
        <is>
          <t>Mixed</t>
        </is>
      </c>
      <c r="O4" t="inlineStr">
        <is>
          <t>Team</t>
        </is>
      </c>
      <c r="P4" t="inlineStr"/>
      <c r="Q4" t="inlineStr"/>
    </row>
    <row r="5">
      <c r="A5" t="inlineStr">
        <is>
          <t>FVC</t>
        </is>
      </c>
      <c r="B5" t="inlineStr">
        <is>
          <t>3623917</t>
        </is>
      </c>
      <c r="C5" t="inlineStr">
        <is>
          <t>65</t>
        </is>
      </c>
      <c r="D5" t="inlineStr">
        <is>
          <t>validated</t>
        </is>
      </c>
      <c r="E5" t="b">
        <v>1</v>
      </c>
      <c r="F5">
        <f>IMAGE("https://chmeetings.blob.core.windows.net/846969/attachments/RsVvSMjIZEOg4jtrF5I5gg/708cb162-46ad-468f-b540-1209616245c2.jpg")</f>
        <v/>
      </c>
      <c r="G5" t="inlineStr">
        <is>
          <t>Kevin</t>
        </is>
      </c>
      <c r="H5" t="inlineStr">
        <is>
          <t>Nguyen</t>
        </is>
      </c>
      <c r="I5" t="inlineStr">
        <is>
          <t>Male</t>
        </is>
      </c>
      <c r="J5" t="n">
        <v>25</v>
      </c>
      <c r="K5" t="inlineStr">
        <is>
          <t>(657) 259-7371</t>
        </is>
      </c>
      <c r="L5" t="inlineStr">
        <is>
          <t>kevinvnguyen15@gmail.com</t>
        </is>
      </c>
      <c r="M5" t="inlineStr">
        <is>
          <t>Basketball</t>
        </is>
      </c>
      <c r="N5" t="inlineStr">
        <is>
          <t>Mixed</t>
        </is>
      </c>
      <c r="O5" t="inlineStr">
        <is>
          <t>Team</t>
        </is>
      </c>
      <c r="P5" t="inlineStr"/>
      <c r="Q5" t="inlineStr"/>
    </row>
    <row r="6">
      <c r="A6" t="inlineStr">
        <is>
          <t>FVC</t>
        </is>
      </c>
      <c r="B6" t="inlineStr">
        <is>
          <t>3623920</t>
        </is>
      </c>
      <c r="C6" t="inlineStr">
        <is>
          <t>61</t>
        </is>
      </c>
      <c r="D6" t="inlineStr">
        <is>
          <t>validated</t>
        </is>
      </c>
      <c r="E6" t="b">
        <v>0</v>
      </c>
      <c r="F6">
        <f>IMAGE("https://chmeetings.blob.core.windows.net/846969/attachments/M6A5b0NLrkOaM0d7HnpXzg/da62a76a-746b-41fc-a40a-dd4fcbe3e398.jpg")</f>
        <v/>
      </c>
      <c r="G6" t="inlineStr">
        <is>
          <t>Austin</t>
        </is>
      </c>
      <c r="H6" t="inlineStr">
        <is>
          <t>Ninh</t>
        </is>
      </c>
      <c r="I6" t="inlineStr">
        <is>
          <t>Male</t>
        </is>
      </c>
      <c r="J6" t="n">
        <v>23</v>
      </c>
      <c r="K6" t="inlineStr">
        <is>
          <t>(714) 804-2815</t>
        </is>
      </c>
      <c r="L6" t="inlineStr">
        <is>
          <t>austin92841@gmail.com</t>
        </is>
      </c>
      <c r="M6" t="inlineStr">
        <is>
          <t>Basketball</t>
        </is>
      </c>
      <c r="N6" t="inlineStr">
        <is>
          <t>Mixed</t>
        </is>
      </c>
      <c r="O6" t="inlineStr">
        <is>
          <t>Team</t>
        </is>
      </c>
      <c r="P6" t="inlineStr"/>
      <c r="Q6" t="inlineStr"/>
    </row>
    <row r="7">
      <c r="A7" t="inlineStr">
        <is>
          <t>FVC</t>
        </is>
      </c>
      <c r="B7" t="inlineStr">
        <is>
          <t>3610914</t>
        </is>
      </c>
      <c r="C7" t="inlineStr">
        <is>
          <t>64</t>
        </is>
      </c>
      <c r="D7" t="inlineStr">
        <is>
          <t>validated</t>
        </is>
      </c>
      <c r="E7" t="b">
        <v>1</v>
      </c>
      <c r="F7">
        <f>IMAGE("https://chmeetings.blob.core.windows.net/846969/attachments/lN4DcHc006cgfECjmFHA/ffef9c1f-80b5-4973-9c35-271cc20fcf5b.jpg")</f>
        <v/>
      </c>
      <c r="G7" t="inlineStr">
        <is>
          <t>Isaiah</t>
        </is>
      </c>
      <c r="H7" t="inlineStr">
        <is>
          <t>Nguyen</t>
        </is>
      </c>
      <c r="I7" t="inlineStr">
        <is>
          <t>Male</t>
        </is>
      </c>
      <c r="J7" t="n">
        <v>23</v>
      </c>
      <c r="K7" t="inlineStr">
        <is>
          <t>(804) 549-2196</t>
        </is>
      </c>
      <c r="L7" t="inlineStr">
        <is>
          <t>Mylife2ezz@gmail.com</t>
        </is>
      </c>
      <c r="M7" t="inlineStr">
        <is>
          <t>Pickleball</t>
        </is>
      </c>
      <c r="N7" t="inlineStr">
        <is>
          <t>Men</t>
        </is>
      </c>
      <c r="O7" t="inlineStr">
        <is>
          <t>Doubles</t>
        </is>
      </c>
      <c r="P7" t="inlineStr"/>
      <c r="Q7" t="inlineStr">
        <is>
          <t>Dylan</t>
        </is>
      </c>
    </row>
    <row r="8">
      <c r="A8" t="inlineStr">
        <is>
          <t>FVC</t>
        </is>
      </c>
      <c r="B8" t="inlineStr">
        <is>
          <t>3610914</t>
        </is>
      </c>
      <c r="C8" t="inlineStr">
        <is>
          <t>64</t>
        </is>
      </c>
      <c r="D8" t="inlineStr">
        <is>
          <t>validated</t>
        </is>
      </c>
      <c r="E8" t="b">
        <v>1</v>
      </c>
      <c r="F8">
        <f>IMAGE("https://chmeetings.blob.core.windows.net/846969/attachments/lN4DcHc006cgfECjmFHA/ffef9c1f-80b5-4973-9c35-271cc20fcf5b.jpg")</f>
        <v/>
      </c>
      <c r="G8" t="inlineStr">
        <is>
          <t>Isaiah</t>
        </is>
      </c>
      <c r="H8" t="inlineStr">
        <is>
          <t>Nguyen</t>
        </is>
      </c>
      <c r="I8" t="inlineStr">
        <is>
          <t>Male</t>
        </is>
      </c>
      <c r="J8" t="n">
        <v>23</v>
      </c>
      <c r="K8" t="inlineStr">
        <is>
          <t>(804) 549-2196</t>
        </is>
      </c>
      <c r="L8" t="inlineStr">
        <is>
          <t>Mylife2ezz@gmail.com</t>
        </is>
      </c>
      <c r="M8" t="inlineStr">
        <is>
          <t>Table Tennis</t>
        </is>
      </c>
      <c r="N8" t="inlineStr">
        <is>
          <t>Mixed</t>
        </is>
      </c>
      <c r="O8" t="inlineStr">
        <is>
          <t>Team</t>
        </is>
      </c>
      <c r="P8" t="inlineStr"/>
      <c r="Q8" t="inlineStr"/>
    </row>
    <row r="9">
      <c r="A9" t="inlineStr">
        <is>
          <t>FVC</t>
        </is>
      </c>
      <c r="B9" t="inlineStr">
        <is>
          <t>3610876</t>
        </is>
      </c>
      <c r="C9" t="inlineStr">
        <is>
          <t>63</t>
        </is>
      </c>
      <c r="D9" t="inlineStr">
        <is>
          <t>validated</t>
        </is>
      </c>
      <c r="E9" t="b">
        <v>1</v>
      </c>
      <c r="F9">
        <f>IMAGE("https://chmeetings.blob.core.windows.net/846969/attachments/n1Hofh79IUm5BWBzi2R7Q/8fe13634-0662-46ec-bdb6-4b8b957d6ee6.jpg")</f>
        <v/>
      </c>
      <c r="G9" t="inlineStr">
        <is>
          <t>Christian</t>
        </is>
      </c>
      <c r="H9" t="inlineStr">
        <is>
          <t>Kadowaki</t>
        </is>
      </c>
      <c r="I9" t="inlineStr">
        <is>
          <t>Male</t>
        </is>
      </c>
      <c r="J9" t="n">
        <v>25</v>
      </c>
      <c r="K9" t="inlineStr">
        <is>
          <t>(714) 916-8835</t>
        </is>
      </c>
      <c r="L9" t="inlineStr">
        <is>
          <t>Christian.kadowaki@gmail.com</t>
        </is>
      </c>
      <c r="M9" t="inlineStr">
        <is>
          <t>Volleyball</t>
        </is>
      </c>
      <c r="N9" t="inlineStr">
        <is>
          <t>Men</t>
        </is>
      </c>
      <c r="O9" t="inlineStr">
        <is>
          <t>Team</t>
        </is>
      </c>
      <c r="P9" t="inlineStr"/>
      <c r="Q9" t="inlineStr"/>
    </row>
    <row r="10">
      <c r="A10" t="inlineStr">
        <is>
          <t>FVC</t>
        </is>
      </c>
      <c r="B10" t="inlineStr">
        <is>
          <t>3627369</t>
        </is>
      </c>
      <c r="C10" t="inlineStr">
        <is>
          <t>123</t>
        </is>
      </c>
      <c r="D10" t="inlineStr">
        <is>
          <t>validated</t>
        </is>
      </c>
      <c r="E10" t="b">
        <v>1</v>
      </c>
      <c r="F10">
        <f>IMAGE("https://chmeetings.blob.core.windows.net/846969/attachments/t481xJpLEm6DJ1S3KMOw/c689801f-da1e-4bd9-93e3-e81c0fd45646.jpg")</f>
        <v/>
      </c>
      <c r="G10" t="inlineStr">
        <is>
          <t>Andrew</t>
        </is>
      </c>
      <c r="H10" t="inlineStr">
        <is>
          <t>Ly</t>
        </is>
      </c>
      <c r="I10" t="inlineStr">
        <is>
          <t>Male</t>
        </is>
      </c>
      <c r="J10" t="n">
        <v>22</v>
      </c>
      <c r="K10" t="inlineStr">
        <is>
          <t>(818) 818-2168</t>
        </is>
      </c>
      <c r="L10" t="inlineStr">
        <is>
          <t>andrewbenjily@gmail.com</t>
        </is>
      </c>
      <c r="M10" t="inlineStr">
        <is>
          <t>Volleyball</t>
        </is>
      </c>
      <c r="N10" t="inlineStr">
        <is>
          <t>Men</t>
        </is>
      </c>
      <c r="O10" t="inlineStr">
        <is>
          <t>Team</t>
        </is>
      </c>
      <c r="P10" t="inlineStr"/>
      <c r="Q10" t="inlineStr"/>
    </row>
    <row r="11">
      <c r="A11" t="inlineStr">
        <is>
          <t>FVC</t>
        </is>
      </c>
      <c r="B11" t="inlineStr">
        <is>
          <t>3632512</t>
        </is>
      </c>
      <c r="C11" t="inlineStr">
        <is>
          <t>124</t>
        </is>
      </c>
      <c r="D11" t="inlineStr">
        <is>
          <t>validated</t>
        </is>
      </c>
      <c r="E11" t="b">
        <v>1</v>
      </c>
      <c r="F11">
        <f>IMAGE("https://chmeetings.blob.core.windows.net/846969/attachments/GgPuAWUyd0CYczyLH9zVPA/3e25232f-7533-4819-8952-60c539b8dcfc.jpg")</f>
        <v/>
      </c>
      <c r="G11" t="inlineStr">
        <is>
          <t>Benjamin</t>
        </is>
      </c>
      <c r="H11" t="inlineStr">
        <is>
          <t>Ly</t>
        </is>
      </c>
      <c r="I11" t="inlineStr">
        <is>
          <t>Male</t>
        </is>
      </c>
      <c r="J11" t="n">
        <v>19</v>
      </c>
      <c r="K11" t="inlineStr">
        <is>
          <t>(818) 818-0156</t>
        </is>
      </c>
      <c r="L11" t="inlineStr">
        <is>
          <t>benjaminandrewly@gmail.com</t>
        </is>
      </c>
      <c r="M11" t="inlineStr">
        <is>
          <t>Volleyball</t>
        </is>
      </c>
      <c r="N11" t="inlineStr">
        <is>
          <t>Men</t>
        </is>
      </c>
      <c r="O11" t="inlineStr">
        <is>
          <t>Team</t>
        </is>
      </c>
      <c r="P11" t="inlineStr"/>
      <c r="Q11" t="inlineStr"/>
    </row>
    <row r="12">
      <c r="A12" t="inlineStr">
        <is>
          <t>FVC</t>
        </is>
      </c>
      <c r="B12" t="inlineStr">
        <is>
          <t>3624648</t>
        </is>
      </c>
      <c r="C12" t="inlineStr">
        <is>
          <t>127</t>
        </is>
      </c>
      <c r="D12" t="inlineStr">
        <is>
          <t>validated</t>
        </is>
      </c>
      <c r="E12" t="b">
        <v>1</v>
      </c>
      <c r="F12">
        <f>IMAGE("https://chmeetings.blob.core.windows.net/846969/attachments/qj11d0mfBkIH30v4IwKQ/8cb9a967-e055-467f-a161-492dfc732b2c.jpg")</f>
        <v/>
      </c>
      <c r="G12" t="inlineStr">
        <is>
          <t>Justin</t>
        </is>
      </c>
      <c r="H12" t="inlineStr">
        <is>
          <t>Nguyen</t>
        </is>
      </c>
      <c r="I12" t="inlineStr">
        <is>
          <t>Male</t>
        </is>
      </c>
      <c r="J12" t="n">
        <v>23</v>
      </c>
      <c r="K12" t="inlineStr">
        <is>
          <t>(951) 496-9385</t>
        </is>
      </c>
      <c r="L12" t="inlineStr">
        <is>
          <t>justinqnguyen3@gmail.com</t>
        </is>
      </c>
      <c r="M12" t="inlineStr">
        <is>
          <t>Volleyball</t>
        </is>
      </c>
      <c r="N12" t="inlineStr">
        <is>
          <t>Men</t>
        </is>
      </c>
      <c r="O12" t="inlineStr">
        <is>
          <t>Team</t>
        </is>
      </c>
      <c r="P12" t="inlineStr"/>
      <c r="Q12" t="inlineStr"/>
    </row>
    <row r="13">
      <c r="A13" t="inlineStr">
        <is>
          <t>FVC</t>
        </is>
      </c>
      <c r="B13" t="inlineStr">
        <is>
          <t>3631514</t>
        </is>
      </c>
      <c r="C13" t="inlineStr">
        <is>
          <t>126</t>
        </is>
      </c>
      <c r="D13" t="inlineStr">
        <is>
          <t>validated</t>
        </is>
      </c>
      <c r="E13" t="b">
        <v>1</v>
      </c>
      <c r="F13">
        <f>IMAGE("https://chmeetings.blob.core.windows.net/846969/attachments/HXcI779CL0aJOqFhGcSWLA/23e4d46f-117e-46f1-82af-bf51c169d43b.jpg")</f>
        <v/>
      </c>
      <c r="G13" t="inlineStr">
        <is>
          <t>Evan</t>
        </is>
      </c>
      <c r="H13" t="inlineStr">
        <is>
          <t>Pham</t>
        </is>
      </c>
      <c r="I13" t="inlineStr">
        <is>
          <t>Male</t>
        </is>
      </c>
      <c r="J13" t="n">
        <v>19</v>
      </c>
      <c r="K13" t="inlineStr">
        <is>
          <t>(714) 657-5917</t>
        </is>
      </c>
      <c r="L13" t="inlineStr">
        <is>
          <t>evanjpham@gmail.com</t>
        </is>
      </c>
      <c r="M13" t="inlineStr">
        <is>
          <t>Volleyball</t>
        </is>
      </c>
      <c r="N13" t="inlineStr">
        <is>
          <t>Men</t>
        </is>
      </c>
      <c r="O13" t="inlineStr">
        <is>
          <t>Team</t>
        </is>
      </c>
      <c r="P13" t="inlineStr"/>
      <c r="Q13" t="inlineStr"/>
    </row>
    <row r="14">
      <c r="A14" t="inlineStr">
        <is>
          <t>FVC</t>
        </is>
      </c>
      <c r="B14" t="inlineStr">
        <is>
          <t>3635284</t>
        </is>
      </c>
      <c r="C14" t="inlineStr">
        <is>
          <t>62</t>
        </is>
      </c>
      <c r="D14" t="inlineStr">
        <is>
          <t>validated</t>
        </is>
      </c>
      <c r="E14" t="b">
        <v>1</v>
      </c>
      <c r="F14">
        <f>IMAGE("https://chmeetings.blob.core.windows.net/846969/attachments/LFoY7ApFX0iK7b8bAJ9IQ/5c24585e-77d3-4091-92bd-281bb4879e90.jpg")</f>
        <v/>
      </c>
      <c r="G14" t="inlineStr">
        <is>
          <t>Boi Boi</t>
        </is>
      </c>
      <c r="H14" t="inlineStr">
        <is>
          <t>Vo</t>
        </is>
      </c>
      <c r="I14" t="inlineStr">
        <is>
          <t>Male</t>
        </is>
      </c>
      <c r="J14" t="n">
        <v>19</v>
      </c>
      <c r="K14" t="inlineStr">
        <is>
          <t>(657) 340-9539</t>
        </is>
      </c>
      <c r="L14" t="inlineStr">
        <is>
          <t>Boiiboivo@gmail.com</t>
        </is>
      </c>
      <c r="M14" t="inlineStr">
        <is>
          <t>Volleyball</t>
        </is>
      </c>
      <c r="N14" t="inlineStr">
        <is>
          <t>Men</t>
        </is>
      </c>
      <c r="O14" t="inlineStr">
        <is>
          <t>Team</t>
        </is>
      </c>
      <c r="P14" t="inlineStr"/>
      <c r="Q14" t="inlineStr"/>
    </row>
    <row r="15">
      <c r="A15" t="inlineStr">
        <is>
          <t>FVC</t>
        </is>
      </c>
      <c r="B15" t="inlineStr">
        <is>
          <t>3631513</t>
        </is>
      </c>
      <c r="C15" t="inlineStr">
        <is>
          <t>125</t>
        </is>
      </c>
      <c r="D15" t="inlineStr">
        <is>
          <t>validated</t>
        </is>
      </c>
      <c r="E15" t="b">
        <v>1</v>
      </c>
      <c r="F15">
        <f>IMAGE("https://chmeetings.blob.core.windows.net/846969/attachments/LctiwClonEOGNeDDzhDfLQ/1737a3f3-5776-4b28-84cd-1539661ebad3.jpg")</f>
        <v/>
      </c>
      <c r="G15" t="inlineStr">
        <is>
          <t>Brianna</t>
        </is>
      </c>
      <c r="H15" t="inlineStr">
        <is>
          <t>Pham</t>
        </is>
      </c>
      <c r="I15" t="inlineStr">
        <is>
          <t>Female</t>
        </is>
      </c>
      <c r="J15" t="n">
        <v>26</v>
      </c>
      <c r="K15" t="inlineStr">
        <is>
          <t>(714) 622-9590</t>
        </is>
      </c>
      <c r="L15" t="inlineStr">
        <is>
          <t>briannajpham@gmail.com</t>
        </is>
      </c>
      <c r="M15" t="inlineStr">
        <is>
          <t>Volleyball</t>
        </is>
      </c>
      <c r="N15" t="inlineStr">
        <is>
          <t>Women</t>
        </is>
      </c>
      <c r="O15" t="inlineStr">
        <is>
          <t>Team</t>
        </is>
      </c>
      <c r="P15" t="inlineStr"/>
      <c r="Q15" t="inlineStr"/>
    </row>
    <row r="16">
      <c r="A16" t="inlineStr">
        <is>
          <t>FVC</t>
        </is>
      </c>
      <c r="B16" t="inlineStr">
        <is>
          <t>3631886</t>
        </is>
      </c>
      <c r="C16" t="inlineStr">
        <is>
          <t>68</t>
        </is>
      </c>
      <c r="D16" t="inlineStr">
        <is>
          <t>validated</t>
        </is>
      </c>
      <c r="E16" t="b">
        <v>1</v>
      </c>
      <c r="F16">
        <f>IMAGE("https://chmeetings.blob.core.windows.net/846969/attachments/DkJl6YJH8U2PP1rKWS5Uw/061b8791-e127-4834-bc55-a904d4dd79a2.jpg")</f>
        <v/>
      </c>
      <c r="G16" t="inlineStr">
        <is>
          <t>Theresa</t>
        </is>
      </c>
      <c r="H16" t="inlineStr">
        <is>
          <t>Tran</t>
        </is>
      </c>
      <c r="I16" t="inlineStr">
        <is>
          <t>Female</t>
        </is>
      </c>
      <c r="J16" t="n">
        <v>31</v>
      </c>
      <c r="K16" t="inlineStr">
        <is>
          <t>(714) 386-8878</t>
        </is>
      </c>
      <c r="L16" t="inlineStr">
        <is>
          <t>choochootrann@csu.fullerton.edu</t>
        </is>
      </c>
      <c r="M16" t="inlineStr">
        <is>
          <t>Volleyball</t>
        </is>
      </c>
      <c r="N16" t="inlineStr">
        <is>
          <t>Women</t>
        </is>
      </c>
      <c r="O16" t="inlineStr">
        <is>
          <t>Team</t>
        </is>
      </c>
      <c r="P16" t="inlineStr"/>
      <c r="Q16" t="inlineStr"/>
    </row>
  </sheetData>
  <autoFilter ref="A1:Q16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5" customWidth="1" min="8" max="8"/>
    <col width="9" customWidth="1" min="9" max="9"/>
    <col width="9" customWidth="1" min="10" max="10"/>
    <col width="12.5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FVC</t>
        </is>
      </c>
      <c r="B2" t="inlineStr">
        <is>
          <t>4361935</t>
        </is>
      </c>
      <c r="C2" t="inlineStr">
        <is>
          <t>67</t>
        </is>
      </c>
      <c r="D2" t="inlineStr">
        <is>
          <t>validated</t>
        </is>
      </c>
      <c r="E2" t="b">
        <v>0</v>
      </c>
      <c r="F2">
        <f>IMAGE("https://chmeetings.blob.core.windows.net/846969/attachments/R67AObtP0qrOKz5JMVug/8581a3f9-95f3-4d53-845b-829780445710.jpg")</f>
        <v/>
      </c>
      <c r="G2" t="inlineStr">
        <is>
          <t>Wang Stephy</t>
        </is>
      </c>
      <c r="H2" t="inlineStr">
        <is>
          <t>Female</t>
        </is>
      </c>
      <c r="I2" t="n">
        <v>24</v>
      </c>
      <c r="J2" t="inlineStr">
        <is>
          <t>(626) 497-4697</t>
        </is>
      </c>
      <c r="K2" t="inlineStr">
        <is>
          <t>Stephy12304@gmail.com</t>
        </is>
      </c>
      <c r="L2" t="inlineStr">
        <is>
          <t>Badminton</t>
        </is>
      </c>
      <c r="M2" t="inlineStr">
        <is>
          <t>Women</t>
        </is>
      </c>
      <c r="N2" t="inlineStr">
        <is>
          <t>Doubles</t>
        </is>
      </c>
      <c r="O2" t="inlineStr"/>
      <c r="P2" t="inlineStr">
        <is>
          <t>Tina</t>
        </is>
      </c>
    </row>
  </sheetData>
  <autoFilter ref="A1:P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.5" customWidth="1" min="7" max="7"/>
    <col width="4" customWidth="1" min="8" max="8"/>
    <col width="9" customWidth="1" min="9" max="9"/>
    <col width="9" customWidth="1" min="10" max="10"/>
    <col width="12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FVC</t>
        </is>
      </c>
      <c r="B2" t="inlineStr">
        <is>
          <t>3623916</t>
        </is>
      </c>
      <c r="C2" t="inlineStr">
        <is>
          <t>66</t>
        </is>
      </c>
      <c r="D2" t="inlineStr">
        <is>
          <t>validated</t>
        </is>
      </c>
      <c r="E2" t="b">
        <v>1</v>
      </c>
      <c r="F2">
        <f>IMAGE("https://chmeetings.blob.core.windows.net/846969/attachments/fYvFpOHviEe0wHVMPzacZw/6a6ff4b5-bd9f-4624-ada9-8744e2a5f857.jpg")</f>
        <v/>
      </c>
      <c r="G2" t="inlineStr">
        <is>
          <t>Miyagishima Matthew</t>
        </is>
      </c>
      <c r="H2" t="inlineStr">
        <is>
          <t>Male</t>
        </is>
      </c>
      <c r="I2" t="n">
        <v>28</v>
      </c>
      <c r="J2" t="inlineStr">
        <is>
          <t>(714) 749-8210</t>
        </is>
      </c>
      <c r="K2" t="inlineStr">
        <is>
          <t>mmiyagishima16@gmail.com</t>
        </is>
      </c>
      <c r="L2" t="inlineStr">
        <is>
          <t>Basketball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FVC</t>
        </is>
      </c>
      <c r="B3" t="inlineStr">
        <is>
          <t>3624648</t>
        </is>
      </c>
      <c r="C3" t="inlineStr">
        <is>
          <t>127</t>
        </is>
      </c>
      <c r="D3" t="inlineStr">
        <is>
          <t>validated</t>
        </is>
      </c>
      <c r="E3" t="b">
        <v>1</v>
      </c>
      <c r="F3">
        <f>IMAGE("https://chmeetings.blob.core.windows.net/846969/attachments/qj11d0mfBkIH30v4IwKQ/8cb9a967-e055-467f-a161-492dfc732b2c.jpg")</f>
        <v/>
      </c>
      <c r="G3" t="inlineStr">
        <is>
          <t>Nguyen Justin</t>
        </is>
      </c>
      <c r="H3" t="inlineStr">
        <is>
          <t>Male</t>
        </is>
      </c>
      <c r="I3" t="n">
        <v>23</v>
      </c>
      <c r="J3" t="inlineStr">
        <is>
          <t>(951) 496-9385</t>
        </is>
      </c>
      <c r="K3" t="inlineStr">
        <is>
          <t>justinqnguyen3@gmail.com</t>
        </is>
      </c>
      <c r="L3" t="inlineStr">
        <is>
          <t>Basketball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FVC</t>
        </is>
      </c>
      <c r="B4" t="inlineStr">
        <is>
          <t>3623917</t>
        </is>
      </c>
      <c r="C4" t="inlineStr">
        <is>
          <t>65</t>
        </is>
      </c>
      <c r="D4" t="inlineStr">
        <is>
          <t>validated</t>
        </is>
      </c>
      <c r="E4" t="b">
        <v>1</v>
      </c>
      <c r="F4">
        <f>IMAGE("https://chmeetings.blob.core.windows.net/846969/attachments/RsVvSMjIZEOg4jtrF5I5gg/708cb162-46ad-468f-b540-1209616245c2.jpg")</f>
        <v/>
      </c>
      <c r="G4" t="inlineStr">
        <is>
          <t>Nguyen Kevin</t>
        </is>
      </c>
      <c r="H4" t="inlineStr">
        <is>
          <t>Male</t>
        </is>
      </c>
      <c r="I4" t="n">
        <v>25</v>
      </c>
      <c r="J4" t="inlineStr">
        <is>
          <t>(657) 259-7371</t>
        </is>
      </c>
      <c r="K4" t="inlineStr">
        <is>
          <t>kevinvnguyen15@gmail.com</t>
        </is>
      </c>
      <c r="L4" t="inlineStr">
        <is>
          <t>Basketball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FVC</t>
        </is>
      </c>
      <c r="B5" t="inlineStr">
        <is>
          <t>3623920</t>
        </is>
      </c>
      <c r="C5" t="inlineStr">
        <is>
          <t>61</t>
        </is>
      </c>
      <c r="D5" t="inlineStr">
        <is>
          <t>validated</t>
        </is>
      </c>
      <c r="E5" t="b">
        <v>0</v>
      </c>
      <c r="F5">
        <f>IMAGE("https://chmeetings.blob.core.windows.net/846969/attachments/M6A5b0NLrkOaM0d7HnpXzg/da62a76a-746b-41fc-a40a-dd4fcbe3e398.jpg")</f>
        <v/>
      </c>
      <c r="G5" t="inlineStr">
        <is>
          <t>Ninh Austin</t>
        </is>
      </c>
      <c r="H5" t="inlineStr">
        <is>
          <t>Male</t>
        </is>
      </c>
      <c r="I5" t="n">
        <v>23</v>
      </c>
      <c r="J5" t="inlineStr">
        <is>
          <t>(714) 804-2815</t>
        </is>
      </c>
      <c r="K5" t="inlineStr">
        <is>
          <t>austin92841@gmail.com</t>
        </is>
      </c>
      <c r="L5" t="inlineStr">
        <is>
          <t>Basketball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</sheetData>
  <autoFilter ref="A1:P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.5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FVC</t>
        </is>
      </c>
      <c r="B2" t="inlineStr">
        <is>
          <t>3610914</t>
        </is>
      </c>
      <c r="C2" t="inlineStr">
        <is>
          <t>64</t>
        </is>
      </c>
      <c r="D2" t="inlineStr">
        <is>
          <t>validated</t>
        </is>
      </c>
      <c r="E2" t="b">
        <v>1</v>
      </c>
      <c r="F2">
        <f>IMAGE("https://chmeetings.blob.core.windows.net/846969/attachments/lN4DcHc006cgfECjmFHA/ffef9c1f-80b5-4973-9c35-271cc20fcf5b.jpg")</f>
        <v/>
      </c>
      <c r="G2" t="inlineStr">
        <is>
          <t>Nguyen Isaiah</t>
        </is>
      </c>
      <c r="H2" t="inlineStr">
        <is>
          <t>Male</t>
        </is>
      </c>
      <c r="I2" t="n">
        <v>23</v>
      </c>
      <c r="J2" t="inlineStr">
        <is>
          <t>(804) 549-2196</t>
        </is>
      </c>
      <c r="K2" t="inlineStr">
        <is>
          <t>Mylife2ezz@gmail.com</t>
        </is>
      </c>
      <c r="L2" t="inlineStr">
        <is>
          <t>Pickleball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Dylan</t>
        </is>
      </c>
    </row>
  </sheetData>
  <autoFilter ref="A1:P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.5" customWidth="1" min="7" max="7"/>
    <col width="4" customWidth="1" min="8" max="8"/>
    <col width="9" customWidth="1" min="9" max="9"/>
    <col width="9" customWidth="1" min="10" max="10"/>
    <col width="12" customWidth="1" min="11" max="11"/>
    <col width="8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FVC</t>
        </is>
      </c>
      <c r="B2" t="inlineStr">
        <is>
          <t>3610914</t>
        </is>
      </c>
      <c r="C2" t="inlineStr">
        <is>
          <t>64</t>
        </is>
      </c>
      <c r="D2" t="inlineStr">
        <is>
          <t>validated</t>
        </is>
      </c>
      <c r="E2" t="b">
        <v>1</v>
      </c>
      <c r="F2">
        <f>IMAGE("https://chmeetings.blob.core.windows.net/846969/attachments/lN4DcHc006cgfECjmFHA/ffef9c1f-80b5-4973-9c35-271cc20fcf5b.jpg")</f>
        <v/>
      </c>
      <c r="G2" t="inlineStr">
        <is>
          <t>Nguyen Isaiah</t>
        </is>
      </c>
      <c r="H2" t="inlineStr">
        <is>
          <t>Male</t>
        </is>
      </c>
      <c r="I2" t="n">
        <v>23</v>
      </c>
      <c r="J2" t="inlineStr">
        <is>
          <t>(804) 549-2196</t>
        </is>
      </c>
      <c r="K2" t="inlineStr">
        <is>
          <t>Mylife2ezz@gmail.com</t>
        </is>
      </c>
      <c r="L2" t="inlineStr">
        <is>
          <t>Table Tennis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</sheetData>
  <autoFilter ref="A1:P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1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FVC</t>
        </is>
      </c>
      <c r="B2" t="inlineStr">
        <is>
          <t>3610876</t>
        </is>
      </c>
      <c r="C2" t="inlineStr">
        <is>
          <t>63</t>
        </is>
      </c>
      <c r="D2" t="inlineStr">
        <is>
          <t>validated</t>
        </is>
      </c>
      <c r="E2" t="b">
        <v>1</v>
      </c>
      <c r="F2">
        <f>IMAGE("https://chmeetings.blob.core.windows.net/846969/attachments/n1Hofh79IUm5BWBzi2R7Q/8fe13634-0662-46ec-bdb6-4b8b957d6ee6.jpg")</f>
        <v/>
      </c>
      <c r="G2" t="inlineStr">
        <is>
          <t>Kadowaki Christian</t>
        </is>
      </c>
      <c r="H2" t="inlineStr">
        <is>
          <t>Male</t>
        </is>
      </c>
      <c r="I2" t="n">
        <v>25</v>
      </c>
      <c r="J2" t="inlineStr">
        <is>
          <t>(714) 916-8835</t>
        </is>
      </c>
      <c r="K2" t="inlineStr">
        <is>
          <t>Christian.kadowaki@gmail.com</t>
        </is>
      </c>
      <c r="L2" t="inlineStr">
        <is>
          <t>Volleyball</t>
        </is>
      </c>
      <c r="M2" t="inlineStr">
        <is>
          <t>Men</t>
        </is>
      </c>
      <c r="N2" t="inlineStr">
        <is>
          <t>Team</t>
        </is>
      </c>
      <c r="O2" t="inlineStr"/>
      <c r="P2" t="inlineStr"/>
    </row>
    <row r="3">
      <c r="A3" t="inlineStr">
        <is>
          <t>FVC</t>
        </is>
      </c>
      <c r="B3" t="inlineStr">
        <is>
          <t>3627369</t>
        </is>
      </c>
      <c r="C3" t="inlineStr">
        <is>
          <t>123</t>
        </is>
      </c>
      <c r="D3" t="inlineStr">
        <is>
          <t>validated</t>
        </is>
      </c>
      <c r="E3" t="b">
        <v>1</v>
      </c>
      <c r="F3">
        <f>IMAGE("https://chmeetings.blob.core.windows.net/846969/attachments/t481xJpLEm6DJ1S3KMOw/c689801f-da1e-4bd9-93e3-e81c0fd45646.jpg")</f>
        <v/>
      </c>
      <c r="G3" t="inlineStr">
        <is>
          <t>Ly Andrew</t>
        </is>
      </c>
      <c r="H3" t="inlineStr">
        <is>
          <t>Male</t>
        </is>
      </c>
      <c r="I3" t="n">
        <v>22</v>
      </c>
      <c r="J3" t="inlineStr">
        <is>
          <t>(818) 818-2168</t>
        </is>
      </c>
      <c r="K3" t="inlineStr">
        <is>
          <t>andrewbenjily@gmail.com</t>
        </is>
      </c>
      <c r="L3" t="inlineStr">
        <is>
          <t>Volleyball</t>
        </is>
      </c>
      <c r="M3" t="inlineStr">
        <is>
          <t>Men</t>
        </is>
      </c>
      <c r="N3" t="inlineStr">
        <is>
          <t>Team</t>
        </is>
      </c>
      <c r="O3" t="inlineStr"/>
      <c r="P3" t="inlineStr"/>
    </row>
    <row r="4">
      <c r="A4" t="inlineStr">
        <is>
          <t>FVC</t>
        </is>
      </c>
      <c r="B4" t="inlineStr">
        <is>
          <t>3632512</t>
        </is>
      </c>
      <c r="C4" t="inlineStr">
        <is>
          <t>124</t>
        </is>
      </c>
      <c r="D4" t="inlineStr">
        <is>
          <t>validated</t>
        </is>
      </c>
      <c r="E4" t="b">
        <v>1</v>
      </c>
      <c r="F4">
        <f>IMAGE("https://chmeetings.blob.core.windows.net/846969/attachments/GgPuAWUyd0CYczyLH9zVPA/3e25232f-7533-4819-8952-60c539b8dcfc.jpg")</f>
        <v/>
      </c>
      <c r="G4" t="inlineStr">
        <is>
          <t>Ly Benjamin</t>
        </is>
      </c>
      <c r="H4" t="inlineStr">
        <is>
          <t>Male</t>
        </is>
      </c>
      <c r="I4" t="n">
        <v>19</v>
      </c>
      <c r="J4" t="inlineStr">
        <is>
          <t>(818) 818-0156</t>
        </is>
      </c>
      <c r="K4" t="inlineStr">
        <is>
          <t>benjaminandrewly@gmail.com</t>
        </is>
      </c>
      <c r="L4" t="inlineStr">
        <is>
          <t>Volleyball</t>
        </is>
      </c>
      <c r="M4" t="inlineStr">
        <is>
          <t>Men</t>
        </is>
      </c>
      <c r="N4" t="inlineStr">
        <is>
          <t>Team</t>
        </is>
      </c>
      <c r="O4" t="inlineStr"/>
      <c r="P4" t="inlineStr"/>
    </row>
    <row r="5">
      <c r="A5" t="inlineStr">
        <is>
          <t>FVC</t>
        </is>
      </c>
      <c r="B5" t="inlineStr">
        <is>
          <t>3624648</t>
        </is>
      </c>
      <c r="C5" t="inlineStr">
        <is>
          <t>127</t>
        </is>
      </c>
      <c r="D5" t="inlineStr">
        <is>
          <t>validated</t>
        </is>
      </c>
      <c r="E5" t="b">
        <v>1</v>
      </c>
      <c r="F5">
        <f>IMAGE("https://chmeetings.blob.core.windows.net/846969/attachments/qj11d0mfBkIH30v4IwKQ/8cb9a967-e055-467f-a161-492dfc732b2c.jpg")</f>
        <v/>
      </c>
      <c r="G5" t="inlineStr">
        <is>
          <t>Nguyen Justin</t>
        </is>
      </c>
      <c r="H5" t="inlineStr">
        <is>
          <t>Male</t>
        </is>
      </c>
      <c r="I5" t="n">
        <v>23</v>
      </c>
      <c r="J5" t="inlineStr">
        <is>
          <t>(951) 496-9385</t>
        </is>
      </c>
      <c r="K5" t="inlineStr">
        <is>
          <t>justinqnguyen3@gmail.com</t>
        </is>
      </c>
      <c r="L5" t="inlineStr">
        <is>
          <t>Volleyball</t>
        </is>
      </c>
      <c r="M5" t="inlineStr">
        <is>
          <t>Men</t>
        </is>
      </c>
      <c r="N5" t="inlineStr">
        <is>
          <t>Team</t>
        </is>
      </c>
      <c r="O5" t="inlineStr"/>
      <c r="P5" t="inlineStr"/>
    </row>
    <row r="6">
      <c r="A6" t="inlineStr">
        <is>
          <t>FVC</t>
        </is>
      </c>
      <c r="B6" t="inlineStr">
        <is>
          <t>3631514</t>
        </is>
      </c>
      <c r="C6" t="inlineStr">
        <is>
          <t>126</t>
        </is>
      </c>
      <c r="D6" t="inlineStr">
        <is>
          <t>validated</t>
        </is>
      </c>
      <c r="E6" t="b">
        <v>1</v>
      </c>
      <c r="F6">
        <f>IMAGE("https://chmeetings.blob.core.windows.net/846969/attachments/HXcI779CL0aJOqFhGcSWLA/23e4d46f-117e-46f1-82af-bf51c169d43b.jpg")</f>
        <v/>
      </c>
      <c r="G6" t="inlineStr">
        <is>
          <t>Pham Evan</t>
        </is>
      </c>
      <c r="H6" t="inlineStr">
        <is>
          <t>Male</t>
        </is>
      </c>
      <c r="I6" t="n">
        <v>19</v>
      </c>
      <c r="J6" t="inlineStr">
        <is>
          <t>(714) 657-5917</t>
        </is>
      </c>
      <c r="K6" t="inlineStr">
        <is>
          <t>evanjpham@gmail.com</t>
        </is>
      </c>
      <c r="L6" t="inlineStr">
        <is>
          <t>Volleyball</t>
        </is>
      </c>
      <c r="M6" t="inlineStr">
        <is>
          <t>Men</t>
        </is>
      </c>
      <c r="N6" t="inlineStr">
        <is>
          <t>Team</t>
        </is>
      </c>
      <c r="O6" t="inlineStr"/>
      <c r="P6" t="inlineStr"/>
    </row>
    <row r="7">
      <c r="A7" t="inlineStr">
        <is>
          <t>FVC</t>
        </is>
      </c>
      <c r="B7" t="inlineStr">
        <is>
          <t>3635284</t>
        </is>
      </c>
      <c r="C7" t="inlineStr">
        <is>
          <t>62</t>
        </is>
      </c>
      <c r="D7" t="inlineStr">
        <is>
          <t>validated</t>
        </is>
      </c>
      <c r="E7" t="b">
        <v>1</v>
      </c>
      <c r="F7">
        <f>IMAGE("https://chmeetings.blob.core.windows.net/846969/attachments/LFoY7ApFX0iK7b8bAJ9IQ/5c24585e-77d3-4091-92bd-281bb4879e90.jpg")</f>
        <v/>
      </c>
      <c r="G7" t="inlineStr">
        <is>
          <t>Vo Boi Boi</t>
        </is>
      </c>
      <c r="H7" t="inlineStr">
        <is>
          <t>Male</t>
        </is>
      </c>
      <c r="I7" t="n">
        <v>19</v>
      </c>
      <c r="J7" t="inlineStr">
        <is>
          <t>(657) 340-9539</t>
        </is>
      </c>
      <c r="K7" t="inlineStr">
        <is>
          <t>Boiiboivo@gmail.com</t>
        </is>
      </c>
      <c r="L7" t="inlineStr">
        <is>
          <t>Volleyball</t>
        </is>
      </c>
      <c r="M7" t="inlineStr">
        <is>
          <t>Men</t>
        </is>
      </c>
      <c r="N7" t="inlineStr">
        <is>
          <t>Team</t>
        </is>
      </c>
      <c r="O7" t="inlineStr"/>
      <c r="P7" t="inlineStr"/>
    </row>
  </sheetData>
  <autoFilter ref="A1:P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8" customWidth="1" min="7" max="7"/>
    <col width="5" customWidth="1" min="8" max="8"/>
    <col width="9" customWidth="1" min="9" max="9"/>
    <col width="9" customWidth="1" min="10" max="10"/>
    <col width="17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FVC</t>
        </is>
      </c>
      <c r="B2" t="inlineStr">
        <is>
          <t>3631513</t>
        </is>
      </c>
      <c r="C2" t="inlineStr">
        <is>
          <t>125</t>
        </is>
      </c>
      <c r="D2" t="inlineStr">
        <is>
          <t>validated</t>
        </is>
      </c>
      <c r="E2" t="b">
        <v>1</v>
      </c>
      <c r="F2">
        <f>IMAGE("https://chmeetings.blob.core.windows.net/846969/attachments/LctiwClonEOGNeDDzhDfLQ/1737a3f3-5776-4b28-84cd-1539661ebad3.jpg")</f>
        <v/>
      </c>
      <c r="G2" t="inlineStr">
        <is>
          <t>Pham Brianna</t>
        </is>
      </c>
      <c r="H2" t="inlineStr">
        <is>
          <t>Female</t>
        </is>
      </c>
      <c r="I2" t="n">
        <v>26</v>
      </c>
      <c r="J2" t="inlineStr">
        <is>
          <t>(714) 622-9590</t>
        </is>
      </c>
      <c r="K2" t="inlineStr">
        <is>
          <t>briannajpham@gmail.com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  <row r="3">
      <c r="A3" t="inlineStr">
        <is>
          <t>FVC</t>
        </is>
      </c>
      <c r="B3" t="inlineStr">
        <is>
          <t>3631886</t>
        </is>
      </c>
      <c r="C3" t="inlineStr">
        <is>
          <t>68</t>
        </is>
      </c>
      <c r="D3" t="inlineStr">
        <is>
          <t>validated</t>
        </is>
      </c>
      <c r="E3" t="b">
        <v>1</v>
      </c>
      <c r="F3">
        <f>IMAGE("https://chmeetings.blob.core.windows.net/846969/attachments/DkJl6YJH8U2PP1rKWS5Uw/061b8791-e127-4834-bc55-a904d4dd79a2.jpg")</f>
        <v/>
      </c>
      <c r="G3" t="inlineStr">
        <is>
          <t>Tran Theresa</t>
        </is>
      </c>
      <c r="H3" t="inlineStr">
        <is>
          <t>Female</t>
        </is>
      </c>
      <c r="I3" t="n">
        <v>31</v>
      </c>
      <c r="J3" t="inlineStr">
        <is>
          <t>(714) 386-8878</t>
        </is>
      </c>
      <c r="K3" t="inlineStr">
        <is>
          <t>choochootrann@csu.fullerton.edu</t>
        </is>
      </c>
      <c r="L3" t="inlineStr">
        <is>
          <t>Volleyball</t>
        </is>
      </c>
      <c r="M3" t="inlineStr">
        <is>
          <t>Women</t>
        </is>
      </c>
      <c r="N3" t="inlineStr">
        <is>
          <t>Team</t>
        </is>
      </c>
      <c r="O3" t="inlineStr"/>
      <c r="P3" t="inlineStr"/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2026-05-04T14:05:27Z</dcterms:created>
  <dcterms:modified xmlns:dcterms="http://purl.org/dc/terms/" xmlns:xsi="http://www.w3.org/2001/XMLSchema-instance" xsi:type="dcterms:W3CDTF">2026-05-04T14:05:27Z</dcterms:modified>
</cp:coreProperties>
</file>