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ntacts-Status" sheetId="2" state="visible" r:id="rId2"/>
    <sheet xmlns:r="http://schemas.openxmlformats.org/officeDocument/2006/relationships" name="Roster" sheetId="3" state="visible" r:id="rId3"/>
    <sheet xmlns:r="http://schemas.openxmlformats.org/officeDocument/2006/relationships" name="Bible Challenge" sheetId="4" state="visible" r:id="rId4"/>
    <sheet xmlns:r="http://schemas.openxmlformats.org/officeDocument/2006/relationships" name="Track  Field" sheetId="5" state="visible" r:id="rId5"/>
    <sheet xmlns:r="http://schemas.openxmlformats.org/officeDocument/2006/relationships" name="Tug-of-war" sheetId="6" state="visible" r:id="rId6"/>
    <sheet xmlns:r="http://schemas.openxmlformats.org/officeDocument/2006/relationships" name="VB Women" sheetId="7" state="visible" r:id="rId7"/>
  </sheets>
  <definedNames>
    <definedName name="_xlnm._FilterDatabase" localSheetId="0" hidden="1">'Summary'!$A$1:$H$2</definedName>
    <definedName name="_xlnm._FilterDatabase" localSheetId="1" hidden="1">'Contacts-Status'!$A$1:$W$4</definedName>
    <definedName name="_xlnm._FilterDatabase" localSheetId="2" hidden="1">'Roster'!$A$1:$Q$9</definedName>
    <definedName name="_xlnm._FilterDatabase" localSheetId="3" hidden="1">'Bible Challenge'!$A$1:$P$3</definedName>
    <definedName name="_xlnm._FilterDatabase" localSheetId="4" hidden="1">'Track  Field'!$A$1:$P$2</definedName>
    <definedName name="_xlnm._FilterDatabase" localSheetId="5" hidden="1">'Tug-of-war'!$A$1:$P$3</definedName>
    <definedName name="_xlnm._FilterDatabase" localSheetId="6" hidden="1">'VB Women'!$A$1:$P$4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Bumble</author>
  </authors>
  <commentList>
    <comment ref="F1" authorId="0" shapeId="0">
      <text>
        <t>In Office365 edition 2023 and later, you can remove the @ from the formula to display the image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7.5" customWidth="1" min="1" max="1"/>
    <col width="17" customWidth="1" min="2" max="2"/>
    <col width="15" customWidth="1" min="3" max="3"/>
    <col width="11.5" customWidth="1" min="4" max="4"/>
    <col width="15.5" customWidth="1" min="5" max="5"/>
    <col width="10.5" customWidth="1" min="6" max="6"/>
    <col width="21" customWidth="1" min="7" max="7"/>
    <col width="11.5" customWidth="1" min="8" max="8"/>
  </cols>
  <sheetData>
    <row r="1">
      <c r="A1" t="inlineStr">
        <is>
          <t>Church Code</t>
        </is>
      </c>
      <c r="B1" t="inlineStr">
        <is>
          <t>Total Members (ChM Team Group)</t>
        </is>
      </c>
      <c r="C1" t="inlineStr">
        <is>
          <t>Total Participants (in WP)</t>
        </is>
      </c>
      <c r="D1" t="inlineStr">
        <is>
          <t>Total Approved (WP)</t>
        </is>
      </c>
      <c r="E1" t="inlineStr">
        <is>
          <t>Total Pending Approval (WP)</t>
        </is>
      </c>
      <c r="F1" t="inlineStr">
        <is>
          <t>Total Denied (WP)</t>
        </is>
      </c>
      <c r="G1" t="inlineStr">
        <is>
          <t>Total Participants w/ Open ERRORs (WP)</t>
        </is>
      </c>
      <c r="H1" t="inlineStr">
        <is>
          <t>Latest ChM Record Update for Team</t>
        </is>
      </c>
    </row>
    <row r="2">
      <c r="A2" t="inlineStr">
        <is>
          <t>NHC</t>
        </is>
      </c>
      <c r="B2" t="n">
        <v>3</v>
      </c>
      <c r="C2" t="n">
        <v>3</v>
      </c>
      <c r="D2" t="n">
        <v>0</v>
      </c>
      <c r="E2" t="n">
        <v>3</v>
      </c>
      <c r="F2" t="n">
        <v>0</v>
      </c>
      <c r="G2" t="n">
        <v>0</v>
      </c>
      <c r="H2" t="inlineStr">
        <is>
          <t>2026-05-02 20:12:09</t>
        </is>
      </c>
    </row>
  </sheetData>
  <autoFilter ref="A1:H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cols>
    <col width="7.5" customWidth="1" min="1" max="1"/>
    <col width="5.5" customWidth="1" min="2" max="2"/>
    <col width="5.5" customWidth="1" min="3" max="3"/>
    <col width="5" customWidth="1" min="4" max="4"/>
    <col width="9" customWidth="1" min="5" max="5"/>
    <col width="8.5" customWidth="1" min="6" max="6"/>
    <col width="11.5" customWidth="1" min="7" max="7"/>
    <col width="12" customWidth="1" min="8" max="8"/>
    <col width="13" customWidth="1" min="9" max="9"/>
    <col width="5" customWidth="1" min="10" max="10"/>
    <col width="7" customWidth="1" min="11" max="11"/>
    <col width="9" customWidth="1" min="12" max="12"/>
    <col width="9" customWidth="1" min="13" max="13"/>
    <col width="15" customWidth="1" min="14" max="14"/>
    <col width="1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50" customWidth="1" min="22" max="22"/>
    <col width="11.5" customWidth="1" min="23" max="23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First Name</t>
        </is>
      </c>
      <c r="D1" t="inlineStr">
        <is>
          <t>Last Name</t>
        </is>
      </c>
      <c r="E1" t="inlineStr">
        <is>
          <t>Is_Participant</t>
        </is>
      </c>
      <c r="F1" t="inlineStr">
        <is>
          <t>Is_Member_ChM</t>
        </is>
      </c>
      <c r="G1" t="inlineStr">
        <is>
          <t>Participant ID (WP)</t>
        </is>
      </c>
      <c r="H1" t="inlineStr">
        <is>
          <t>Approval_Status (WP)</t>
        </is>
      </c>
      <c r="I1" t="inlineStr">
        <is>
          <t>Total_Open_ERRORs (WP)</t>
        </is>
      </c>
      <c r="J1" t="inlineStr">
        <is>
          <t>Gender</t>
        </is>
      </c>
      <c r="K1" t="inlineStr">
        <is>
          <t>Birthdate</t>
        </is>
      </c>
      <c r="L1" t="inlineStr">
        <is>
          <t>Age (at Event)</t>
        </is>
      </c>
      <c r="M1" t="inlineStr">
        <is>
          <t>Mobile Phone</t>
        </is>
      </c>
      <c r="N1" t="inlineStr">
        <is>
          <t>Email</t>
        </is>
      </c>
      <c r="O1" t="inlineStr">
        <is>
          <t>First_Open_ERROR_Desc (WP)</t>
        </is>
      </c>
      <c r="P1" t="inlineStr">
        <is>
          <t>Box 1</t>
        </is>
      </c>
      <c r="Q1" t="inlineStr">
        <is>
          <t>Box 2</t>
        </is>
      </c>
      <c r="R1" t="inlineStr">
        <is>
          <t>Box 3</t>
        </is>
      </c>
      <c r="S1" t="inlineStr">
        <is>
          <t>Box 4</t>
        </is>
      </c>
      <c r="T1" t="inlineStr">
        <is>
          <t>Box 5</t>
        </is>
      </c>
      <c r="U1" t="inlineStr">
        <is>
          <t>Box 6</t>
        </is>
      </c>
      <c r="V1" t="inlineStr">
        <is>
          <t>Photo URL (WP)</t>
        </is>
      </c>
      <c r="W1" t="inlineStr">
        <is>
          <t>Update_on_ChM</t>
        </is>
      </c>
    </row>
    <row r="2">
      <c r="A2" t="inlineStr">
        <is>
          <t>NHC</t>
        </is>
      </c>
      <c r="B2" t="inlineStr">
        <is>
          <t>3570849</t>
        </is>
      </c>
      <c r="C2" t="inlineStr">
        <is>
          <t>Faith</t>
        </is>
      </c>
      <c r="D2" t="inlineStr">
        <is>
          <t>Nguyen</t>
        </is>
      </c>
      <c r="E2" t="inlineStr">
        <is>
          <t>Yes</t>
        </is>
      </c>
      <c r="F2" t="inlineStr">
        <is>
          <t>Yes</t>
        </is>
      </c>
      <c r="G2" t="inlineStr">
        <is>
          <t>32</t>
        </is>
      </c>
      <c r="H2" t="inlineStr">
        <is>
          <t>validated</t>
        </is>
      </c>
      <c r="I2" t="n">
        <v>0</v>
      </c>
      <c r="J2" t="inlineStr">
        <is>
          <t>Female</t>
        </is>
      </c>
      <c r="K2" t="inlineStr">
        <is>
          <t>2004-11-30</t>
        </is>
      </c>
      <c r="L2" t="n">
        <v>21</v>
      </c>
      <c r="M2" t="inlineStr">
        <is>
          <t>(818) 364-1995</t>
        </is>
      </c>
      <c r="N2" t="inlineStr">
        <is>
          <t>faithdnguyen@gmail.com</t>
        </is>
      </c>
      <c r="O2" t="inlineStr"/>
      <c r="P2" t="inlineStr"/>
      <c r="Q2" t="inlineStr"/>
      <c r="R2" t="inlineStr"/>
      <c r="S2" t="inlineStr"/>
      <c r="T2" t="inlineStr"/>
      <c r="U2" t="inlineStr"/>
      <c r="V2">
        <f>HYPERLINK("https://chmeetings.blob.core.windows.net/846969/attachments/ImZkxkYEeJVq4IgCqawg/acea4bd7-c650-4527-8991-aa7a30072191.jpg", "https://chmeetings.blob.core.windows.net/846969/attachments/ImZkxkYEeJVq4IgCqawg/acea4bd7-c650-4527-8991-aa7a30072191.jpg")</f>
        <v/>
      </c>
      <c r="W2" t="inlineStr">
        <is>
          <t>2026-05-02 20:12:09</t>
        </is>
      </c>
    </row>
    <row r="3">
      <c r="A3" t="inlineStr">
        <is>
          <t>NHC</t>
        </is>
      </c>
      <c r="B3" t="inlineStr">
        <is>
          <t>3630107</t>
        </is>
      </c>
      <c r="C3" t="inlineStr">
        <is>
          <t>Nhi</t>
        </is>
      </c>
      <c r="D3" t="inlineStr">
        <is>
          <t>Nguyen</t>
        </is>
      </c>
      <c r="E3" t="inlineStr">
        <is>
          <t>Yes</t>
        </is>
      </c>
      <c r="F3" t="inlineStr">
        <is>
          <t>Yes</t>
        </is>
      </c>
      <c r="G3" t="inlineStr">
        <is>
          <t>33</t>
        </is>
      </c>
      <c r="H3" t="inlineStr">
        <is>
          <t>validated</t>
        </is>
      </c>
      <c r="I3" t="n">
        <v>0</v>
      </c>
      <c r="J3" t="inlineStr">
        <is>
          <t>Female</t>
        </is>
      </c>
      <c r="K3" t="inlineStr">
        <is>
          <t>2004-03-09</t>
        </is>
      </c>
      <c r="L3" t="n">
        <v>22</v>
      </c>
      <c r="M3" t="inlineStr">
        <is>
          <t>(818) 205-6576</t>
        </is>
      </c>
      <c r="N3" t="inlineStr">
        <is>
          <t>nhikneenguyen@gmail.com</t>
        </is>
      </c>
      <c r="O3" t="inlineStr"/>
      <c r="P3" t="inlineStr"/>
      <c r="Q3" t="inlineStr"/>
      <c r="R3" t="inlineStr"/>
      <c r="S3" t="inlineStr"/>
      <c r="T3" t="inlineStr"/>
      <c r="U3" t="inlineStr"/>
      <c r="V3">
        <f>HYPERLINK("https://chmeetings.blob.core.windows.net/846969/attachments/B2AeM61EiaenvZFE5GJA/7474f516-6576-427d-817f-9e334bd24a36.jpg", "https://chmeetings.blob.core.windows.net/846969/attachments/B2AeM61EiaenvZFE5GJA/7474f516-6576-427d-817f-9e334bd24a36.jpg")</f>
        <v/>
      </c>
      <c r="W3" t="inlineStr">
        <is>
          <t>2026-05-02 20:08:50</t>
        </is>
      </c>
    </row>
    <row r="4">
      <c r="A4" t="inlineStr">
        <is>
          <t>NHC</t>
        </is>
      </c>
      <c r="B4" t="inlineStr">
        <is>
          <t>4361931</t>
        </is>
      </c>
      <c r="C4" t="inlineStr">
        <is>
          <t>Trinity</t>
        </is>
      </c>
      <c r="D4" t="inlineStr">
        <is>
          <t>Nguyen</t>
        </is>
      </c>
      <c r="E4" t="inlineStr">
        <is>
          <t>Yes</t>
        </is>
      </c>
      <c r="F4" t="inlineStr">
        <is>
          <t>Yes</t>
        </is>
      </c>
      <c r="G4" t="inlineStr">
        <is>
          <t>34</t>
        </is>
      </c>
      <c r="H4" t="inlineStr">
        <is>
          <t>validated</t>
        </is>
      </c>
      <c r="I4" t="n">
        <v>0</v>
      </c>
      <c r="J4" t="inlineStr">
        <is>
          <t>Female</t>
        </is>
      </c>
      <c r="K4" t="inlineStr">
        <is>
          <t>2006-08-19</t>
        </is>
      </c>
      <c r="L4" t="n">
        <v>19</v>
      </c>
      <c r="M4" t="inlineStr">
        <is>
          <t>(818) 521-0702</t>
        </is>
      </c>
      <c r="N4" t="inlineStr">
        <is>
          <t>trinitynguyen819@gmail.com</t>
        </is>
      </c>
      <c r="O4" t="inlineStr"/>
      <c r="P4" t="inlineStr"/>
      <c r="Q4" t="inlineStr"/>
      <c r="R4" t="inlineStr"/>
      <c r="S4" t="inlineStr"/>
      <c r="T4" t="inlineStr"/>
      <c r="U4" t="inlineStr"/>
      <c r="V4">
        <f>HYPERLINK("https://chmeetings.blob.core.windows.net/846969/attachments/F4w3vSczI06e8w0dsmofYA/e9ff8cac-4f75-4fdf-9684-72ad97ca13f2.jpg", "https://chmeetings.blob.core.windows.net/846969/attachments/F4w3vSczI06e8w0dsmofYA/e9ff8cac-4f75-4fdf-9684-72ad97ca13f2.jpg")</f>
        <v/>
      </c>
      <c r="W4" t="inlineStr">
        <is>
          <t>2026-05-02 19:51:56</t>
        </is>
      </c>
    </row>
  </sheetData>
  <autoFilter ref="A1:W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cols>
    <col width="7.5" customWidth="1" min="1" max="1"/>
    <col width="5.5" customWidth="1" min="2" max="2"/>
    <col width="11.5" customWidth="1" min="3" max="3"/>
    <col width="12" customWidth="1" min="4" max="4"/>
    <col width="8.5" customWidth="1" min="5" max="5"/>
    <col width="50" customWidth="1" min="6" max="6"/>
    <col width="5.5" customWidth="1" min="7" max="7"/>
    <col width="5" customWidth="1" min="8" max="8"/>
    <col width="5" customWidth="1" min="9" max="9"/>
    <col width="9" customWidth="1" min="10" max="10"/>
    <col width="9" customWidth="1" min="11" max="11"/>
    <col width="15" customWidth="1" min="12" max="12"/>
    <col width="7" customWidth="1" min="13" max="13"/>
    <col width="8" customWidth="1" min="14" max="14"/>
    <col width="8" customWidth="1" min="15" max="15"/>
    <col width="7" customWidth="1" min="16" max="16"/>
    <col width="8" customWidth="1" min="17" max="17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Participant ID (WP)</t>
        </is>
      </c>
      <c r="D1" t="inlineStr">
        <is>
          <t>Approval_Status (WP)</t>
        </is>
      </c>
      <c r="E1" t="inlineStr">
        <is>
          <t>Is_Member_ChM</t>
        </is>
      </c>
      <c r="F1" s="1" t="inlineStr">
        <is>
          <t>Photo</t>
        </is>
      </c>
      <c r="G1" t="inlineStr">
        <is>
          <t>First Name</t>
        </is>
      </c>
      <c r="H1" t="inlineStr">
        <is>
          <t>Last Name</t>
        </is>
      </c>
      <c r="I1" t="inlineStr">
        <is>
          <t>Gender</t>
        </is>
      </c>
      <c r="J1" t="inlineStr">
        <is>
          <t>Age (at Event)</t>
        </is>
      </c>
      <c r="K1" t="inlineStr">
        <is>
          <t>Mobile Phone</t>
        </is>
      </c>
      <c r="L1" t="inlineStr">
        <is>
          <t>Email</t>
        </is>
      </c>
      <c r="M1" t="inlineStr">
        <is>
          <t>sport_type</t>
        </is>
      </c>
      <c r="N1" t="inlineStr">
        <is>
          <t>sport_gender</t>
        </is>
      </c>
      <c r="O1" t="inlineStr">
        <is>
          <t>sport_format</t>
        </is>
      </c>
      <c r="P1" t="inlineStr">
        <is>
          <t>team_order</t>
        </is>
      </c>
      <c r="Q1" t="inlineStr">
        <is>
          <t>partner_name</t>
        </is>
      </c>
    </row>
    <row r="2">
      <c r="A2" t="inlineStr">
        <is>
          <t>NHC</t>
        </is>
      </c>
      <c r="B2" t="inlineStr">
        <is>
          <t>3570849</t>
        </is>
      </c>
      <c r="C2" t="inlineStr">
        <is>
          <t>32</t>
        </is>
      </c>
      <c r="D2" t="inlineStr">
        <is>
          <t>validated</t>
        </is>
      </c>
      <c r="E2" t="b">
        <v>1</v>
      </c>
      <c r="F2">
        <f>IMAGE("https://chmeetings.blob.core.windows.net/846969/attachments/ImZkxkYEeJVq4IgCqawg/acea4bd7-c650-4527-8991-aa7a30072191.jpg")</f>
        <v/>
      </c>
      <c r="G2" t="inlineStr">
        <is>
          <t>Faith</t>
        </is>
      </c>
      <c r="H2" t="inlineStr">
        <is>
          <t>Nguyen</t>
        </is>
      </c>
      <c r="I2" t="inlineStr">
        <is>
          <t>Female</t>
        </is>
      </c>
      <c r="J2" t="n">
        <v>21</v>
      </c>
      <c r="K2" t="inlineStr">
        <is>
          <t>(818) 364-1995</t>
        </is>
      </c>
      <c r="L2" t="inlineStr">
        <is>
          <t>faithdnguyen@gmail.com</t>
        </is>
      </c>
      <c r="M2" t="inlineStr">
        <is>
          <t>Bible Challenge</t>
        </is>
      </c>
      <c r="N2" t="inlineStr">
        <is>
          <t>Mixed</t>
        </is>
      </c>
      <c r="O2" t="inlineStr">
        <is>
          <t>Team</t>
        </is>
      </c>
      <c r="P2" t="inlineStr"/>
      <c r="Q2" t="inlineStr"/>
    </row>
    <row r="3">
      <c r="A3" t="inlineStr">
        <is>
          <t>NHC</t>
        </is>
      </c>
      <c r="B3" t="inlineStr">
        <is>
          <t>3630107</t>
        </is>
      </c>
      <c r="C3" t="inlineStr">
        <is>
          <t>33</t>
        </is>
      </c>
      <c r="D3" t="inlineStr">
        <is>
          <t>validated</t>
        </is>
      </c>
      <c r="E3" t="b">
        <v>1</v>
      </c>
      <c r="F3">
        <f>IMAGE("https://chmeetings.blob.core.windows.net/846969/attachments/B2AeM61EiaenvZFE5GJA/7474f516-6576-427d-817f-9e334bd24a36.jpg")</f>
        <v/>
      </c>
      <c r="G3" t="inlineStr">
        <is>
          <t>Nhi</t>
        </is>
      </c>
      <c r="H3" t="inlineStr">
        <is>
          <t>Nguyen</t>
        </is>
      </c>
      <c r="I3" t="inlineStr">
        <is>
          <t>Female</t>
        </is>
      </c>
      <c r="J3" t="n">
        <v>22</v>
      </c>
      <c r="K3" t="inlineStr">
        <is>
          <t>(818) 205-6576</t>
        </is>
      </c>
      <c r="L3" t="inlineStr">
        <is>
          <t>nhikneenguyen@gmail.com</t>
        </is>
      </c>
      <c r="M3" t="inlineStr">
        <is>
          <t>Bible Challenge</t>
        </is>
      </c>
      <c r="N3" t="inlineStr">
        <is>
          <t>Mixed</t>
        </is>
      </c>
      <c r="O3" t="inlineStr">
        <is>
          <t>Team</t>
        </is>
      </c>
      <c r="P3" t="inlineStr"/>
      <c r="Q3" t="inlineStr"/>
    </row>
    <row r="4">
      <c r="A4" t="inlineStr">
        <is>
          <t>NHC</t>
        </is>
      </c>
      <c r="B4" t="inlineStr">
        <is>
          <t>3570849</t>
        </is>
      </c>
      <c r="C4" t="inlineStr">
        <is>
          <t>32</t>
        </is>
      </c>
      <c r="D4" t="inlineStr">
        <is>
          <t>validated</t>
        </is>
      </c>
      <c r="E4" t="b">
        <v>1</v>
      </c>
      <c r="F4">
        <f>IMAGE("https://chmeetings.blob.core.windows.net/846969/attachments/ImZkxkYEeJVq4IgCqawg/acea4bd7-c650-4527-8991-aa7a30072191.jpg")</f>
        <v/>
      </c>
      <c r="G4" t="inlineStr">
        <is>
          <t>Faith</t>
        </is>
      </c>
      <c r="H4" t="inlineStr">
        <is>
          <t>Nguyen</t>
        </is>
      </c>
      <c r="I4" t="inlineStr">
        <is>
          <t>Female</t>
        </is>
      </c>
      <c r="J4" t="n">
        <v>21</v>
      </c>
      <c r="K4" t="inlineStr">
        <is>
          <t>(818) 364-1995</t>
        </is>
      </c>
      <c r="L4" t="inlineStr">
        <is>
          <t>faithdnguyen@gmail.com</t>
        </is>
      </c>
      <c r="M4" t="inlineStr">
        <is>
          <t>Track &amp; Field</t>
        </is>
      </c>
      <c r="N4" t="inlineStr">
        <is>
          <t>Mixed</t>
        </is>
      </c>
      <c r="O4" t="inlineStr">
        <is>
          <t>Team</t>
        </is>
      </c>
      <c r="P4" t="inlineStr"/>
      <c r="Q4" t="inlineStr"/>
    </row>
    <row r="5">
      <c r="A5" t="inlineStr">
        <is>
          <t>NHC</t>
        </is>
      </c>
      <c r="B5" t="inlineStr">
        <is>
          <t>3570849</t>
        </is>
      </c>
      <c r="C5" t="inlineStr">
        <is>
          <t>32</t>
        </is>
      </c>
      <c r="D5" t="inlineStr">
        <is>
          <t>validated</t>
        </is>
      </c>
      <c r="E5" t="b">
        <v>1</v>
      </c>
      <c r="F5">
        <f>IMAGE("https://chmeetings.blob.core.windows.net/846969/attachments/ImZkxkYEeJVq4IgCqawg/acea4bd7-c650-4527-8991-aa7a30072191.jpg")</f>
        <v/>
      </c>
      <c r="G5" t="inlineStr">
        <is>
          <t>Faith</t>
        </is>
      </c>
      <c r="H5" t="inlineStr">
        <is>
          <t>Nguyen</t>
        </is>
      </c>
      <c r="I5" t="inlineStr">
        <is>
          <t>Female</t>
        </is>
      </c>
      <c r="J5" t="n">
        <v>21</v>
      </c>
      <c r="K5" t="inlineStr">
        <is>
          <t>(818) 364-1995</t>
        </is>
      </c>
      <c r="L5" t="inlineStr">
        <is>
          <t>faithdnguyen@gmail.com</t>
        </is>
      </c>
      <c r="M5" t="inlineStr">
        <is>
          <t>Tug-of-war</t>
        </is>
      </c>
      <c r="N5" t="inlineStr">
        <is>
          <t>Mixed</t>
        </is>
      </c>
      <c r="O5" t="inlineStr">
        <is>
          <t>Team</t>
        </is>
      </c>
      <c r="P5" t="inlineStr"/>
      <c r="Q5" t="inlineStr"/>
    </row>
    <row r="6">
      <c r="A6" t="inlineStr">
        <is>
          <t>NHC</t>
        </is>
      </c>
      <c r="B6" t="inlineStr">
        <is>
          <t>3630107</t>
        </is>
      </c>
      <c r="C6" t="inlineStr">
        <is>
          <t>33</t>
        </is>
      </c>
      <c r="D6" t="inlineStr">
        <is>
          <t>validated</t>
        </is>
      </c>
      <c r="E6" t="b">
        <v>1</v>
      </c>
      <c r="F6">
        <f>IMAGE("https://chmeetings.blob.core.windows.net/846969/attachments/B2AeM61EiaenvZFE5GJA/7474f516-6576-427d-817f-9e334bd24a36.jpg")</f>
        <v/>
      </c>
      <c r="G6" t="inlineStr">
        <is>
          <t>Nhi</t>
        </is>
      </c>
      <c r="H6" t="inlineStr">
        <is>
          <t>Nguyen</t>
        </is>
      </c>
      <c r="I6" t="inlineStr">
        <is>
          <t>Female</t>
        </is>
      </c>
      <c r="J6" t="n">
        <v>22</v>
      </c>
      <c r="K6" t="inlineStr">
        <is>
          <t>(818) 205-6576</t>
        </is>
      </c>
      <c r="L6" t="inlineStr">
        <is>
          <t>nhikneenguyen@gmail.com</t>
        </is>
      </c>
      <c r="M6" t="inlineStr">
        <is>
          <t>Tug-of-war</t>
        </is>
      </c>
      <c r="N6" t="inlineStr">
        <is>
          <t>Mixed</t>
        </is>
      </c>
      <c r="O6" t="inlineStr">
        <is>
          <t>Team</t>
        </is>
      </c>
      <c r="P6" t="inlineStr"/>
      <c r="Q6" t="inlineStr"/>
    </row>
    <row r="7">
      <c r="A7" t="inlineStr">
        <is>
          <t>NHC</t>
        </is>
      </c>
      <c r="B7" t="inlineStr">
        <is>
          <t>3570849</t>
        </is>
      </c>
      <c r="C7" t="inlineStr">
        <is>
          <t>32</t>
        </is>
      </c>
      <c r="D7" t="inlineStr">
        <is>
          <t>validated</t>
        </is>
      </c>
      <c r="E7" t="b">
        <v>1</v>
      </c>
      <c r="F7">
        <f>IMAGE("https://chmeetings.blob.core.windows.net/846969/attachments/ImZkxkYEeJVq4IgCqawg/acea4bd7-c650-4527-8991-aa7a30072191.jpg")</f>
        <v/>
      </c>
      <c r="G7" t="inlineStr">
        <is>
          <t>Faith</t>
        </is>
      </c>
      <c r="H7" t="inlineStr">
        <is>
          <t>Nguyen</t>
        </is>
      </c>
      <c r="I7" t="inlineStr">
        <is>
          <t>Female</t>
        </is>
      </c>
      <c r="J7" t="n">
        <v>21</v>
      </c>
      <c r="K7" t="inlineStr">
        <is>
          <t>(818) 364-1995</t>
        </is>
      </c>
      <c r="L7" t="inlineStr">
        <is>
          <t>faithdnguyen@gmail.com</t>
        </is>
      </c>
      <c r="M7" t="inlineStr">
        <is>
          <t>Volleyball</t>
        </is>
      </c>
      <c r="N7" t="inlineStr">
        <is>
          <t>Women</t>
        </is>
      </c>
      <c r="O7" t="inlineStr">
        <is>
          <t>Team</t>
        </is>
      </c>
      <c r="P7" t="inlineStr"/>
      <c r="Q7" t="inlineStr"/>
    </row>
    <row r="8">
      <c r="A8" t="inlineStr">
        <is>
          <t>NHC</t>
        </is>
      </c>
      <c r="B8" t="inlineStr">
        <is>
          <t>3630107</t>
        </is>
      </c>
      <c r="C8" t="inlineStr">
        <is>
          <t>33</t>
        </is>
      </c>
      <c r="D8" t="inlineStr">
        <is>
          <t>validated</t>
        </is>
      </c>
      <c r="E8" t="b">
        <v>1</v>
      </c>
      <c r="F8">
        <f>IMAGE("https://chmeetings.blob.core.windows.net/846969/attachments/B2AeM61EiaenvZFE5GJA/7474f516-6576-427d-817f-9e334bd24a36.jpg")</f>
        <v/>
      </c>
      <c r="G8" t="inlineStr">
        <is>
          <t>Nhi</t>
        </is>
      </c>
      <c r="H8" t="inlineStr">
        <is>
          <t>Nguyen</t>
        </is>
      </c>
      <c r="I8" t="inlineStr">
        <is>
          <t>Female</t>
        </is>
      </c>
      <c r="J8" t="n">
        <v>22</v>
      </c>
      <c r="K8" t="inlineStr">
        <is>
          <t>(818) 205-6576</t>
        </is>
      </c>
      <c r="L8" t="inlineStr">
        <is>
          <t>nhikneenguyen@gmail.com</t>
        </is>
      </c>
      <c r="M8" t="inlineStr">
        <is>
          <t>Volleyball</t>
        </is>
      </c>
      <c r="N8" t="inlineStr">
        <is>
          <t>Women</t>
        </is>
      </c>
      <c r="O8" t="inlineStr">
        <is>
          <t>Team</t>
        </is>
      </c>
      <c r="P8" t="inlineStr"/>
      <c r="Q8" t="inlineStr"/>
    </row>
    <row r="9">
      <c r="A9" t="inlineStr">
        <is>
          <t>NHC</t>
        </is>
      </c>
      <c r="B9" t="inlineStr">
        <is>
          <t>4361931</t>
        </is>
      </c>
      <c r="C9" t="inlineStr">
        <is>
          <t>34</t>
        </is>
      </c>
      <c r="D9" t="inlineStr">
        <is>
          <t>validated</t>
        </is>
      </c>
      <c r="E9" t="b">
        <v>1</v>
      </c>
      <c r="F9">
        <f>IMAGE("https://chmeetings.blob.core.windows.net/846969/attachments/F4w3vSczI06e8w0dsmofYA/e9ff8cac-4f75-4fdf-9684-72ad97ca13f2.jpg")</f>
        <v/>
      </c>
      <c r="G9" t="inlineStr">
        <is>
          <t>Trinity</t>
        </is>
      </c>
      <c r="H9" t="inlineStr">
        <is>
          <t>Nguyen</t>
        </is>
      </c>
      <c r="I9" t="inlineStr">
        <is>
          <t>Female</t>
        </is>
      </c>
      <c r="J9" t="n">
        <v>19</v>
      </c>
      <c r="K9" t="inlineStr">
        <is>
          <t>(818) 521-0702</t>
        </is>
      </c>
      <c r="L9" t="inlineStr">
        <is>
          <t>trinitynguyen819@gmail.com</t>
        </is>
      </c>
      <c r="M9" t="inlineStr">
        <is>
          <t>Volleyball</t>
        </is>
      </c>
      <c r="N9" t="inlineStr">
        <is>
          <t>Women</t>
        </is>
      </c>
      <c r="O9" t="inlineStr">
        <is>
          <t>Team</t>
        </is>
      </c>
      <c r="P9" t="inlineStr"/>
      <c r="Q9" t="inlineStr"/>
    </row>
  </sheetData>
  <autoFilter ref="A1:Q9"/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cols>
    <col width="7.5" customWidth="1" min="1" max="1"/>
    <col width="5.5" customWidth="1" min="2" max="2"/>
    <col width="11.5" customWidth="1" min="3" max="3"/>
    <col width="12" customWidth="1" min="4" max="4"/>
    <col width="8.5" customWidth="1" min="5" max="5"/>
    <col width="50" customWidth="1" min="6" max="6"/>
    <col width="7" customWidth="1" min="7" max="7"/>
    <col width="5" customWidth="1" min="8" max="8"/>
    <col width="9" customWidth="1" min="9" max="9"/>
    <col width="9" customWidth="1" min="10" max="10"/>
    <col width="13.5" customWidth="1" min="11" max="11"/>
    <col width="9.5" customWidth="1" min="12" max="12"/>
    <col width="8" customWidth="1" min="13" max="13"/>
    <col width="8" customWidth="1" min="14" max="14"/>
    <col width="7" customWidth="1" min="15" max="15"/>
    <col width="8" customWidth="1" min="16" max="16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Participant ID (WP)</t>
        </is>
      </c>
      <c r="D1" t="inlineStr">
        <is>
          <t>Approval_Status (WP)</t>
        </is>
      </c>
      <c r="E1" t="inlineStr">
        <is>
          <t>Is_Member_ChM</t>
        </is>
      </c>
      <c r="F1" t="inlineStr">
        <is>
          <t>Photo</t>
        </is>
      </c>
      <c r="G1" t="inlineStr">
        <is>
          <t>Full Name</t>
        </is>
      </c>
      <c r="H1" t="inlineStr">
        <is>
          <t>Gender</t>
        </is>
      </c>
      <c r="I1" t="inlineStr">
        <is>
          <t>Age (at Event)</t>
        </is>
      </c>
      <c r="J1" t="inlineStr">
        <is>
          <t>Mobile Phone</t>
        </is>
      </c>
      <c r="K1" t="inlineStr">
        <is>
          <t>Email</t>
        </is>
      </c>
      <c r="L1" t="inlineStr">
        <is>
          <t>sport_type</t>
        </is>
      </c>
      <c r="M1" t="inlineStr">
        <is>
          <t>sport_gender</t>
        </is>
      </c>
      <c r="N1" t="inlineStr">
        <is>
          <t>sport_format</t>
        </is>
      </c>
      <c r="O1" t="inlineStr">
        <is>
          <t>team_order</t>
        </is>
      </c>
      <c r="P1" t="inlineStr">
        <is>
          <t>partner_name</t>
        </is>
      </c>
    </row>
    <row r="2">
      <c r="A2" t="inlineStr">
        <is>
          <t>NHC</t>
        </is>
      </c>
      <c r="B2" t="inlineStr">
        <is>
          <t>3570849</t>
        </is>
      </c>
      <c r="C2" t="inlineStr">
        <is>
          <t>32</t>
        </is>
      </c>
      <c r="D2" t="inlineStr">
        <is>
          <t>validated</t>
        </is>
      </c>
      <c r="E2" t="b">
        <v>1</v>
      </c>
      <c r="F2">
        <f>IMAGE("https://chmeetings.blob.core.windows.net/846969/attachments/ImZkxkYEeJVq4IgCqawg/acea4bd7-c650-4527-8991-aa7a30072191.jpg")</f>
        <v/>
      </c>
      <c r="G2" t="inlineStr">
        <is>
          <t>Nguyen Faith</t>
        </is>
      </c>
      <c r="H2" t="inlineStr">
        <is>
          <t>Female</t>
        </is>
      </c>
      <c r="I2" t="n">
        <v>21</v>
      </c>
      <c r="J2" t="inlineStr">
        <is>
          <t>(818) 364-1995</t>
        </is>
      </c>
      <c r="K2" t="inlineStr">
        <is>
          <t>faithdnguyen@gmail.com</t>
        </is>
      </c>
      <c r="L2" t="inlineStr">
        <is>
          <t>Bible Challenge</t>
        </is>
      </c>
      <c r="M2" t="inlineStr">
        <is>
          <t>Mixed</t>
        </is>
      </c>
      <c r="N2" t="inlineStr">
        <is>
          <t>Team</t>
        </is>
      </c>
      <c r="O2" t="inlineStr"/>
      <c r="P2" t="inlineStr"/>
    </row>
    <row r="3">
      <c r="A3" t="inlineStr">
        <is>
          <t>NHC</t>
        </is>
      </c>
      <c r="B3" t="inlineStr">
        <is>
          <t>3630107</t>
        </is>
      </c>
      <c r="C3" t="inlineStr">
        <is>
          <t>33</t>
        </is>
      </c>
      <c r="D3" t="inlineStr">
        <is>
          <t>validated</t>
        </is>
      </c>
      <c r="E3" t="b">
        <v>1</v>
      </c>
      <c r="F3">
        <f>IMAGE("https://chmeetings.blob.core.windows.net/846969/attachments/B2AeM61EiaenvZFE5GJA/7474f516-6576-427d-817f-9e334bd24a36.jpg")</f>
        <v/>
      </c>
      <c r="G3" t="inlineStr">
        <is>
          <t>Nguyen Nhi</t>
        </is>
      </c>
      <c r="H3" t="inlineStr">
        <is>
          <t>Female</t>
        </is>
      </c>
      <c r="I3" t="n">
        <v>22</v>
      </c>
      <c r="J3" t="inlineStr">
        <is>
          <t>(818) 205-6576</t>
        </is>
      </c>
      <c r="K3" t="inlineStr">
        <is>
          <t>nhikneenguyen@gmail.com</t>
        </is>
      </c>
      <c r="L3" t="inlineStr">
        <is>
          <t>Bible Challenge</t>
        </is>
      </c>
      <c r="M3" t="inlineStr">
        <is>
          <t>Mixed</t>
        </is>
      </c>
      <c r="N3" t="inlineStr">
        <is>
          <t>Team</t>
        </is>
      </c>
      <c r="O3" t="inlineStr"/>
      <c r="P3" t="inlineStr"/>
    </row>
  </sheetData>
  <autoFilter ref="A1:P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7.5" customWidth="1" min="1" max="1"/>
    <col width="5.5" customWidth="1" min="2" max="2"/>
    <col width="11.5" customWidth="1" min="3" max="3"/>
    <col width="12" customWidth="1" min="4" max="4"/>
    <col width="8.5" customWidth="1" min="5" max="5"/>
    <col width="50" customWidth="1" min="6" max="6"/>
    <col width="8" customWidth="1" min="7" max="7"/>
    <col width="5" customWidth="1" min="8" max="8"/>
    <col width="9" customWidth="1" min="9" max="9"/>
    <col width="9" customWidth="1" min="10" max="10"/>
    <col width="13" customWidth="1" min="11" max="11"/>
    <col width="8.5" customWidth="1" min="12" max="12"/>
    <col width="8" customWidth="1" min="13" max="13"/>
    <col width="8" customWidth="1" min="14" max="14"/>
    <col width="7" customWidth="1" min="15" max="15"/>
    <col width="8" customWidth="1" min="16" max="16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Participant ID (WP)</t>
        </is>
      </c>
      <c r="D1" t="inlineStr">
        <is>
          <t>Approval_Status (WP)</t>
        </is>
      </c>
      <c r="E1" t="inlineStr">
        <is>
          <t>Is_Member_ChM</t>
        </is>
      </c>
      <c r="F1" t="inlineStr">
        <is>
          <t>Photo</t>
        </is>
      </c>
      <c r="G1" t="inlineStr">
        <is>
          <t>Full Name</t>
        </is>
      </c>
      <c r="H1" t="inlineStr">
        <is>
          <t>Gender</t>
        </is>
      </c>
      <c r="I1" t="inlineStr">
        <is>
          <t>Age (at Event)</t>
        </is>
      </c>
      <c r="J1" t="inlineStr">
        <is>
          <t>Mobile Phone</t>
        </is>
      </c>
      <c r="K1" t="inlineStr">
        <is>
          <t>Email</t>
        </is>
      </c>
      <c r="L1" t="inlineStr">
        <is>
          <t>sport_type</t>
        </is>
      </c>
      <c r="M1" t="inlineStr">
        <is>
          <t>sport_gender</t>
        </is>
      </c>
      <c r="N1" t="inlineStr">
        <is>
          <t>sport_format</t>
        </is>
      </c>
      <c r="O1" t="inlineStr">
        <is>
          <t>team_order</t>
        </is>
      </c>
      <c r="P1" t="inlineStr">
        <is>
          <t>partner_name</t>
        </is>
      </c>
    </row>
    <row r="2">
      <c r="A2" t="inlineStr">
        <is>
          <t>NHC</t>
        </is>
      </c>
      <c r="B2" t="inlineStr">
        <is>
          <t>3570849</t>
        </is>
      </c>
      <c r="C2" t="inlineStr">
        <is>
          <t>32</t>
        </is>
      </c>
      <c r="D2" t="inlineStr">
        <is>
          <t>validated</t>
        </is>
      </c>
      <c r="E2" t="b">
        <v>1</v>
      </c>
      <c r="F2">
        <f>IMAGE("https://chmeetings.blob.core.windows.net/846969/attachments/ImZkxkYEeJVq4IgCqawg/acea4bd7-c650-4527-8991-aa7a30072191.jpg")</f>
        <v/>
      </c>
      <c r="G2" t="inlineStr">
        <is>
          <t>Nguyen Faith</t>
        </is>
      </c>
      <c r="H2" t="inlineStr">
        <is>
          <t>Female</t>
        </is>
      </c>
      <c r="I2" t="n">
        <v>21</v>
      </c>
      <c r="J2" t="inlineStr">
        <is>
          <t>(818) 364-1995</t>
        </is>
      </c>
      <c r="K2" t="inlineStr">
        <is>
          <t>faithdnguyen@gmail.com</t>
        </is>
      </c>
      <c r="L2" t="inlineStr">
        <is>
          <t>Track &amp; Field</t>
        </is>
      </c>
      <c r="M2" t="inlineStr">
        <is>
          <t>Mixed</t>
        </is>
      </c>
      <c r="N2" t="inlineStr">
        <is>
          <t>Team</t>
        </is>
      </c>
      <c r="O2" t="inlineStr"/>
      <c r="P2" t="inlineStr"/>
    </row>
  </sheetData>
  <autoFilter ref="A1:P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cols>
    <col width="7.5" customWidth="1" min="1" max="1"/>
    <col width="5.5" customWidth="1" min="2" max="2"/>
    <col width="11.5" customWidth="1" min="3" max="3"/>
    <col width="12" customWidth="1" min="4" max="4"/>
    <col width="8.5" customWidth="1" min="5" max="5"/>
    <col width="50" customWidth="1" min="6" max="6"/>
    <col width="7" customWidth="1" min="7" max="7"/>
    <col width="5" customWidth="1" min="8" max="8"/>
    <col width="9" customWidth="1" min="9" max="9"/>
    <col width="9" customWidth="1" min="10" max="10"/>
    <col width="13.5" customWidth="1" min="11" max="11"/>
    <col width="7" customWidth="1" min="12" max="12"/>
    <col width="8" customWidth="1" min="13" max="13"/>
    <col width="8" customWidth="1" min="14" max="14"/>
    <col width="7" customWidth="1" min="15" max="15"/>
    <col width="8" customWidth="1" min="16" max="16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Participant ID (WP)</t>
        </is>
      </c>
      <c r="D1" t="inlineStr">
        <is>
          <t>Approval_Status (WP)</t>
        </is>
      </c>
      <c r="E1" t="inlineStr">
        <is>
          <t>Is_Member_ChM</t>
        </is>
      </c>
      <c r="F1" t="inlineStr">
        <is>
          <t>Photo</t>
        </is>
      </c>
      <c r="G1" t="inlineStr">
        <is>
          <t>Full Name</t>
        </is>
      </c>
      <c r="H1" t="inlineStr">
        <is>
          <t>Gender</t>
        </is>
      </c>
      <c r="I1" t="inlineStr">
        <is>
          <t>Age (at Event)</t>
        </is>
      </c>
      <c r="J1" t="inlineStr">
        <is>
          <t>Mobile Phone</t>
        </is>
      </c>
      <c r="K1" t="inlineStr">
        <is>
          <t>Email</t>
        </is>
      </c>
      <c r="L1" t="inlineStr">
        <is>
          <t>sport_type</t>
        </is>
      </c>
      <c r="M1" t="inlineStr">
        <is>
          <t>sport_gender</t>
        </is>
      </c>
      <c r="N1" t="inlineStr">
        <is>
          <t>sport_format</t>
        </is>
      </c>
      <c r="O1" t="inlineStr">
        <is>
          <t>team_order</t>
        </is>
      </c>
      <c r="P1" t="inlineStr">
        <is>
          <t>partner_name</t>
        </is>
      </c>
    </row>
    <row r="2">
      <c r="A2" t="inlineStr">
        <is>
          <t>NHC</t>
        </is>
      </c>
      <c r="B2" t="inlineStr">
        <is>
          <t>3570849</t>
        </is>
      </c>
      <c r="C2" t="inlineStr">
        <is>
          <t>32</t>
        </is>
      </c>
      <c r="D2" t="inlineStr">
        <is>
          <t>validated</t>
        </is>
      </c>
      <c r="E2" t="b">
        <v>1</v>
      </c>
      <c r="F2">
        <f>IMAGE("https://chmeetings.blob.core.windows.net/846969/attachments/ImZkxkYEeJVq4IgCqawg/acea4bd7-c650-4527-8991-aa7a30072191.jpg")</f>
        <v/>
      </c>
      <c r="G2" t="inlineStr">
        <is>
          <t>Nguyen Faith</t>
        </is>
      </c>
      <c r="H2" t="inlineStr">
        <is>
          <t>Female</t>
        </is>
      </c>
      <c r="I2" t="n">
        <v>21</v>
      </c>
      <c r="J2" t="inlineStr">
        <is>
          <t>(818) 364-1995</t>
        </is>
      </c>
      <c r="K2" t="inlineStr">
        <is>
          <t>faithdnguyen@gmail.com</t>
        </is>
      </c>
      <c r="L2" t="inlineStr">
        <is>
          <t>Tug-of-war</t>
        </is>
      </c>
      <c r="M2" t="inlineStr">
        <is>
          <t>Mixed</t>
        </is>
      </c>
      <c r="N2" t="inlineStr">
        <is>
          <t>Team</t>
        </is>
      </c>
      <c r="O2" t="inlineStr"/>
      <c r="P2" t="inlineStr"/>
    </row>
    <row r="3">
      <c r="A3" t="inlineStr">
        <is>
          <t>NHC</t>
        </is>
      </c>
      <c r="B3" t="inlineStr">
        <is>
          <t>3630107</t>
        </is>
      </c>
      <c r="C3" t="inlineStr">
        <is>
          <t>33</t>
        </is>
      </c>
      <c r="D3" t="inlineStr">
        <is>
          <t>validated</t>
        </is>
      </c>
      <c r="E3" t="b">
        <v>1</v>
      </c>
      <c r="F3">
        <f>IMAGE("https://chmeetings.blob.core.windows.net/846969/attachments/B2AeM61EiaenvZFE5GJA/7474f516-6576-427d-817f-9e334bd24a36.jpg")</f>
        <v/>
      </c>
      <c r="G3" t="inlineStr">
        <is>
          <t>Nguyen Nhi</t>
        </is>
      </c>
      <c r="H3" t="inlineStr">
        <is>
          <t>Female</t>
        </is>
      </c>
      <c r="I3" t="n">
        <v>22</v>
      </c>
      <c r="J3" t="inlineStr">
        <is>
          <t>(818) 205-6576</t>
        </is>
      </c>
      <c r="K3" t="inlineStr">
        <is>
          <t>nhikneenguyen@gmail.com</t>
        </is>
      </c>
      <c r="L3" t="inlineStr">
        <is>
          <t>Tug-of-war</t>
        </is>
      </c>
      <c r="M3" t="inlineStr">
        <is>
          <t>Mixed</t>
        </is>
      </c>
      <c r="N3" t="inlineStr">
        <is>
          <t>Team</t>
        </is>
      </c>
      <c r="O3" t="inlineStr"/>
      <c r="P3" t="inlineStr"/>
    </row>
  </sheetData>
  <autoFilter ref="A1:P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7.5" customWidth="1" min="1" max="1"/>
    <col width="5.5" customWidth="1" min="2" max="2"/>
    <col width="11.5" customWidth="1" min="3" max="3"/>
    <col width="12" customWidth="1" min="4" max="4"/>
    <col width="8.5" customWidth="1" min="5" max="5"/>
    <col width="50" customWidth="1" min="6" max="6"/>
    <col width="9" customWidth="1" min="7" max="7"/>
    <col width="5" customWidth="1" min="8" max="8"/>
    <col width="9" customWidth="1" min="9" max="9"/>
    <col width="9" customWidth="1" min="10" max="10"/>
    <col width="15" customWidth="1" min="11" max="11"/>
    <col width="7" customWidth="1" min="12" max="12"/>
    <col width="8" customWidth="1" min="13" max="13"/>
    <col width="8" customWidth="1" min="14" max="14"/>
    <col width="7" customWidth="1" min="15" max="15"/>
    <col width="8" customWidth="1" min="16" max="16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Participant ID (WP)</t>
        </is>
      </c>
      <c r="D1" t="inlineStr">
        <is>
          <t>Approval_Status (WP)</t>
        </is>
      </c>
      <c r="E1" t="inlineStr">
        <is>
          <t>Is_Member_ChM</t>
        </is>
      </c>
      <c r="F1" t="inlineStr">
        <is>
          <t>Photo</t>
        </is>
      </c>
      <c r="G1" t="inlineStr">
        <is>
          <t>Full Name</t>
        </is>
      </c>
      <c r="H1" t="inlineStr">
        <is>
          <t>Gender</t>
        </is>
      </c>
      <c r="I1" t="inlineStr">
        <is>
          <t>Age (at Event)</t>
        </is>
      </c>
      <c r="J1" t="inlineStr">
        <is>
          <t>Mobile Phone</t>
        </is>
      </c>
      <c r="K1" t="inlineStr">
        <is>
          <t>Email</t>
        </is>
      </c>
      <c r="L1" t="inlineStr">
        <is>
          <t>sport_type</t>
        </is>
      </c>
      <c r="M1" t="inlineStr">
        <is>
          <t>sport_gender</t>
        </is>
      </c>
      <c r="N1" t="inlineStr">
        <is>
          <t>sport_format</t>
        </is>
      </c>
      <c r="O1" t="inlineStr">
        <is>
          <t>team_order</t>
        </is>
      </c>
      <c r="P1" t="inlineStr">
        <is>
          <t>partner_name</t>
        </is>
      </c>
    </row>
    <row r="2">
      <c r="A2" t="inlineStr">
        <is>
          <t>NHC</t>
        </is>
      </c>
      <c r="B2" t="inlineStr">
        <is>
          <t>3570849</t>
        </is>
      </c>
      <c r="C2" t="inlineStr">
        <is>
          <t>32</t>
        </is>
      </c>
      <c r="D2" t="inlineStr">
        <is>
          <t>validated</t>
        </is>
      </c>
      <c r="E2" t="b">
        <v>1</v>
      </c>
      <c r="F2">
        <f>IMAGE("https://chmeetings.blob.core.windows.net/846969/attachments/ImZkxkYEeJVq4IgCqawg/acea4bd7-c650-4527-8991-aa7a30072191.jpg")</f>
        <v/>
      </c>
      <c r="G2" t="inlineStr">
        <is>
          <t>Nguyen Faith</t>
        </is>
      </c>
      <c r="H2" t="inlineStr">
        <is>
          <t>Female</t>
        </is>
      </c>
      <c r="I2" t="n">
        <v>21</v>
      </c>
      <c r="J2" t="inlineStr">
        <is>
          <t>(818) 364-1995</t>
        </is>
      </c>
      <c r="K2" t="inlineStr">
        <is>
          <t>faithdnguyen@gmail.com</t>
        </is>
      </c>
      <c r="L2" t="inlineStr">
        <is>
          <t>Volleyball</t>
        </is>
      </c>
      <c r="M2" t="inlineStr">
        <is>
          <t>Women</t>
        </is>
      </c>
      <c r="N2" t="inlineStr">
        <is>
          <t>Team</t>
        </is>
      </c>
      <c r="O2" t="inlineStr"/>
      <c r="P2" t="inlineStr"/>
    </row>
    <row r="3">
      <c r="A3" t="inlineStr">
        <is>
          <t>NHC</t>
        </is>
      </c>
      <c r="B3" t="inlineStr">
        <is>
          <t>3630107</t>
        </is>
      </c>
      <c r="C3" t="inlineStr">
        <is>
          <t>33</t>
        </is>
      </c>
      <c r="D3" t="inlineStr">
        <is>
          <t>validated</t>
        </is>
      </c>
      <c r="E3" t="b">
        <v>1</v>
      </c>
      <c r="F3">
        <f>IMAGE("https://chmeetings.blob.core.windows.net/846969/attachments/B2AeM61EiaenvZFE5GJA/7474f516-6576-427d-817f-9e334bd24a36.jpg")</f>
        <v/>
      </c>
      <c r="G3" t="inlineStr">
        <is>
          <t>Nguyen Nhi</t>
        </is>
      </c>
      <c r="H3" t="inlineStr">
        <is>
          <t>Female</t>
        </is>
      </c>
      <c r="I3" t="n">
        <v>22</v>
      </c>
      <c r="J3" t="inlineStr">
        <is>
          <t>(818) 205-6576</t>
        </is>
      </c>
      <c r="K3" t="inlineStr">
        <is>
          <t>nhikneenguyen@gmail.com</t>
        </is>
      </c>
      <c r="L3" t="inlineStr">
        <is>
          <t>Volleyball</t>
        </is>
      </c>
      <c r="M3" t="inlineStr">
        <is>
          <t>Women</t>
        </is>
      </c>
      <c r="N3" t="inlineStr">
        <is>
          <t>Team</t>
        </is>
      </c>
      <c r="O3" t="inlineStr"/>
      <c r="P3" t="inlineStr"/>
    </row>
    <row r="4">
      <c r="A4" t="inlineStr">
        <is>
          <t>NHC</t>
        </is>
      </c>
      <c r="B4" t="inlineStr">
        <is>
          <t>4361931</t>
        </is>
      </c>
      <c r="C4" t="inlineStr">
        <is>
          <t>34</t>
        </is>
      </c>
      <c r="D4" t="inlineStr">
        <is>
          <t>validated</t>
        </is>
      </c>
      <c r="E4" t="b">
        <v>1</v>
      </c>
      <c r="F4">
        <f>IMAGE("https://chmeetings.blob.core.windows.net/846969/attachments/F4w3vSczI06e8w0dsmofYA/e9ff8cac-4f75-4fdf-9684-72ad97ca13f2.jpg")</f>
        <v/>
      </c>
      <c r="G4" t="inlineStr">
        <is>
          <t>Nguyen Trinity</t>
        </is>
      </c>
      <c r="H4" t="inlineStr">
        <is>
          <t>Female</t>
        </is>
      </c>
      <c r="I4" t="n">
        <v>19</v>
      </c>
      <c r="J4" t="inlineStr">
        <is>
          <t>(818) 521-0702</t>
        </is>
      </c>
      <c r="K4" t="inlineStr">
        <is>
          <t>trinitynguyen819@gmail.com</t>
        </is>
      </c>
      <c r="L4" t="inlineStr">
        <is>
          <t>Volleyball</t>
        </is>
      </c>
      <c r="M4" t="inlineStr">
        <is>
          <t>Women</t>
        </is>
      </c>
      <c r="N4" t="inlineStr">
        <is>
          <t>Team</t>
        </is>
      </c>
      <c r="O4" t="inlineStr"/>
      <c r="P4" t="inlineStr"/>
    </row>
  </sheetData>
  <autoFilter ref="A1:P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2026-05-04T14:05:28Z</dcterms:created>
  <dcterms:modified xmlns:dcterms="http://purl.org/dc/terms/" xmlns:xsi="http://www.w3.org/2001/XMLSchema-instance" xsi:type="dcterms:W3CDTF">2026-05-04T14:05:28Z</dcterms:modified>
</cp:coreProperties>
</file>