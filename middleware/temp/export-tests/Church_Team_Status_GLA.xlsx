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Bible Challenge" sheetId="6" state="visible" r:id="rId6"/>
    <sheet xmlns:r="http://schemas.openxmlformats.org/officeDocument/2006/relationships" name="Pickleball" sheetId="7" state="visible" r:id="rId7"/>
    <sheet xmlns:r="http://schemas.openxmlformats.org/officeDocument/2006/relationships" name="Table Tennis" sheetId="8" state="visible" r:id="rId8"/>
    <sheet xmlns:r="http://schemas.openxmlformats.org/officeDocument/2006/relationships" name="Track  Field" sheetId="9" state="visible" r:id="rId9"/>
    <sheet xmlns:r="http://schemas.openxmlformats.org/officeDocument/2006/relationships" name="Tug-of-war" sheetId="10" state="visible" r:id="rId10"/>
    <sheet xmlns:r="http://schemas.openxmlformats.org/officeDocument/2006/relationships" name="VB Men" sheetId="11" state="visible" r:id="rId11"/>
    <sheet xmlns:r="http://schemas.openxmlformats.org/officeDocument/2006/relationships" name="VB Women" sheetId="12" state="visible" r:id="rId12"/>
  </sheets>
  <definedNames>
    <definedName name="_xlnm._FilterDatabase" localSheetId="0" hidden="1">'Summary'!$A$1:$H$2</definedName>
    <definedName name="_xlnm._FilterDatabase" localSheetId="1" hidden="1">'Contacts-Status'!$A$1:$W$13</definedName>
    <definedName name="_xlnm._FilterDatabase" localSheetId="2" hidden="1">'Roster'!$A$1:$Q$22</definedName>
    <definedName name="_xlnm._FilterDatabase" localSheetId="3" hidden="1">'Badminton'!$A$1:$P$2</definedName>
    <definedName name="_xlnm._FilterDatabase" localSheetId="4" hidden="1">'Basketball'!$A$1:$P$3</definedName>
    <definedName name="_xlnm._FilterDatabase" localSheetId="5" hidden="1">'Bible Challenge'!$A$1:$P$4</definedName>
    <definedName name="_xlnm._FilterDatabase" localSheetId="6" hidden="1">'Pickleball'!$A$1:$P$3</definedName>
    <definedName name="_xlnm._FilterDatabase" localSheetId="7" hidden="1">'Table Tennis'!$A$1:$P$3</definedName>
    <definedName name="_xlnm._FilterDatabase" localSheetId="8" hidden="1">'Track  Field'!$A$1:$P$3</definedName>
    <definedName name="_xlnm._FilterDatabase" localSheetId="9" hidden="1">'Tug-of-war'!$A$1:$P$2</definedName>
    <definedName name="_xlnm._FilterDatabase" localSheetId="10" hidden="1">'VB Men'!$A$1:$P$6</definedName>
    <definedName name="_xlnm._FilterDatabase" localSheetId="11" hidden="1">'VB Women'!$A$1:$P$4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GLA</t>
        </is>
      </c>
      <c r="B2" t="n">
        <v>12</v>
      </c>
      <c r="C2" t="n">
        <v>12</v>
      </c>
      <c r="D2" t="n">
        <v>0</v>
      </c>
      <c r="E2" t="n">
        <v>12</v>
      </c>
      <c r="F2" t="n">
        <v>0</v>
      </c>
      <c r="G2" t="n">
        <v>4</v>
      </c>
      <c r="H2" t="inlineStr">
        <is>
          <t>2026-05-03 22:04:15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6" customWidth="1" min="3" max="3"/>
    <col width="4" customWidth="1" min="4" max="4"/>
    <col width="9" customWidth="1" min="5" max="5"/>
    <col width="8.5" customWidth="1" min="6" max="6"/>
    <col width="11.5" customWidth="1" min="7" max="7"/>
    <col width="6.5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4" customWidth="1" min="14" max="14"/>
    <col width="23.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GLA</t>
        </is>
      </c>
      <c r="B2" t="inlineStr">
        <is>
          <t>3629646</t>
        </is>
      </c>
      <c r="C2" t="inlineStr">
        <is>
          <t>Timothy</t>
        </is>
      </c>
      <c r="D2" t="inlineStr">
        <is>
          <t>Le</t>
        </is>
      </c>
      <c r="E2" t="inlineStr">
        <is>
          <t>Yes</t>
        </is>
      </c>
      <c r="F2" t="inlineStr">
        <is>
          <t>Yes</t>
        </is>
      </c>
      <c r="G2" t="inlineStr">
        <is>
          <t>41</t>
        </is>
      </c>
      <c r="H2" t="inlineStr">
        <is>
          <t>pending</t>
        </is>
      </c>
      <c r="I2" t="n">
        <v>1</v>
      </c>
      <c r="J2" t="inlineStr">
        <is>
          <t>Male</t>
        </is>
      </c>
      <c r="K2" t="inlineStr">
        <is>
          <t>2012-07-16</t>
        </is>
      </c>
      <c r="L2" t="n">
        <v>14</v>
      </c>
      <c r="M2" t="inlineStr">
        <is>
          <t>(747) 236-9493</t>
        </is>
      </c>
      <c r="N2" t="inlineStr">
        <is>
          <t>tle0168@mymail.lausd.net</t>
        </is>
      </c>
      <c r="O2" t="inlineStr">
        <is>
          <t>Consent form status unknown or not provided</t>
        </is>
      </c>
      <c r="P2" t="inlineStr">
        <is>
          <t>1. Correct identity, gender, age range</t>
        </is>
      </c>
      <c r="Q2" t="inlineStr"/>
      <c r="R2" t="inlineStr">
        <is>
          <t>3. Account created on Member Portal and logged in</t>
        </is>
      </c>
      <c r="S2" t="inlineStr">
        <is>
          <t>4. Valid Photo as ID for event check-in</t>
        </is>
      </c>
      <c r="T2" t="inlineStr"/>
      <c r="U2" t="inlineStr"/>
      <c r="V2">
        <f>HYPERLINK("https://chmeetings.blob.core.windows.net/846969/attachments/WfQk1w0b0O76DBIEeFaag/f6059547-2901-4815-b55d-66de1acd7f37.jpg", "https://chmeetings.blob.core.windows.net/846969/attachments/WfQk1w0b0O76DBIEeFaag/f6059547-2901-4815-b55d-66de1acd7f37.jpg")</f>
        <v/>
      </c>
      <c r="W2" t="inlineStr">
        <is>
          <t>2026-05-02 19:45:15</t>
        </is>
      </c>
    </row>
    <row r="3">
      <c r="A3" t="inlineStr">
        <is>
          <t>GLA</t>
        </is>
      </c>
      <c r="B3" t="inlineStr">
        <is>
          <t>3615945</t>
        </is>
      </c>
      <c r="C3" t="inlineStr">
        <is>
          <t>Noah</t>
        </is>
      </c>
      <c r="D3" t="inlineStr">
        <is>
          <t>Nguyen</t>
        </is>
      </c>
      <c r="E3" t="inlineStr">
        <is>
          <t>Yes</t>
        </is>
      </c>
      <c r="F3" t="inlineStr">
        <is>
          <t>Yes</t>
        </is>
      </c>
      <c r="G3" t="inlineStr">
        <is>
          <t>38</t>
        </is>
      </c>
      <c r="H3" t="inlineStr">
        <is>
          <t>pending</t>
        </is>
      </c>
      <c r="I3" t="n">
        <v>1</v>
      </c>
      <c r="J3" t="inlineStr">
        <is>
          <t>Male</t>
        </is>
      </c>
      <c r="K3" t="inlineStr">
        <is>
          <t>2010-01-30</t>
        </is>
      </c>
      <c r="L3" t="n">
        <v>16</v>
      </c>
      <c r="M3" t="inlineStr">
        <is>
          <t>(818) 471-6453</t>
        </is>
      </c>
      <c r="N3" t="inlineStr">
        <is>
          <t>nnguyen0063@mymail.lausd.net</t>
        </is>
      </c>
      <c r="O3" t="inlineStr">
        <is>
          <t>Consent form status unknown or not provided</t>
        </is>
      </c>
      <c r="P3" t="inlineStr">
        <is>
          <t>1. Correct identity, gender, age range</t>
        </is>
      </c>
      <c r="Q3" t="inlineStr"/>
      <c r="R3" t="inlineStr">
        <is>
          <t>3. Account created on Member Portal and logged in</t>
        </is>
      </c>
      <c r="S3" t="inlineStr">
        <is>
          <t>4. Valid Photo as ID for event check-in</t>
        </is>
      </c>
      <c r="T3" t="inlineStr"/>
      <c r="U3" t="inlineStr"/>
      <c r="V3">
        <f>HYPERLINK("https://chmeetings.blob.core.windows.net/846969/attachments/m8ZIG9l0q0SQqgX5gZgIiw/bfdaebb3-efb9-4138-83ee-93fa773220cd.jpg", "https://chmeetings.blob.core.windows.net/846969/attachments/m8ZIG9l0q0SQqgX5gZgIiw/bfdaebb3-efb9-4138-83ee-93fa773220cd.jpg")</f>
        <v/>
      </c>
      <c r="W3" t="inlineStr">
        <is>
          <t>2026-05-02 19:46:32</t>
        </is>
      </c>
    </row>
    <row r="4">
      <c r="A4" t="inlineStr">
        <is>
          <t>GLA</t>
        </is>
      </c>
      <c r="B4" t="inlineStr">
        <is>
          <t>4361929</t>
        </is>
      </c>
      <c r="C4" t="inlineStr">
        <is>
          <t>Wynson</t>
        </is>
      </c>
      <c r="D4" t="inlineStr">
        <is>
          <t>Nong</t>
        </is>
      </c>
      <c r="E4" t="inlineStr">
        <is>
          <t>Yes</t>
        </is>
      </c>
      <c r="F4" t="inlineStr">
        <is>
          <t>Yes</t>
        </is>
      </c>
      <c r="G4" t="inlineStr">
        <is>
          <t>42</t>
        </is>
      </c>
      <c r="H4" t="inlineStr">
        <is>
          <t>pending</t>
        </is>
      </c>
      <c r="I4" t="n">
        <v>1</v>
      </c>
      <c r="J4" t="inlineStr">
        <is>
          <t>Male</t>
        </is>
      </c>
      <c r="K4" t="inlineStr">
        <is>
          <t>2012-05-30</t>
        </is>
      </c>
      <c r="L4" t="n">
        <v>14</v>
      </c>
      <c r="M4" t="inlineStr">
        <is>
          <t>(626) 975-1445</t>
        </is>
      </c>
      <c r="N4" t="inlineStr">
        <is>
          <t>Nongwynson@gmail.com</t>
        </is>
      </c>
      <c r="O4" t="inlineStr">
        <is>
          <t>Consent form status unknown or not provided</t>
        </is>
      </c>
      <c r="P4" t="inlineStr"/>
      <c r="Q4" t="inlineStr"/>
      <c r="R4" t="inlineStr">
        <is>
          <t>3. Account created on Member Portal and logged in</t>
        </is>
      </c>
      <c r="S4" t="inlineStr">
        <is>
          <t>4. Valid Photo as ID for event check-in</t>
        </is>
      </c>
      <c r="T4" t="inlineStr"/>
      <c r="U4" t="inlineStr"/>
      <c r="V4">
        <f>HYPERLINK("https://chmeetings.blob.core.windows.net/846969/attachments/ZHwVcAbhikGrvFy7cbAgOw/65c7c3f4-46ed-4da0-b2f4-61e31c920b9f.jpg", "https://chmeetings.blob.core.windows.net/846969/attachments/ZHwVcAbhikGrvFy7cbAgOw/65c7c3f4-46ed-4da0-b2f4-61e31c920b9f.jpg")</f>
        <v/>
      </c>
      <c r="W4" t="inlineStr">
        <is>
          <t>2026-05-02 19:45:52</t>
        </is>
      </c>
    </row>
    <row r="5">
      <c r="A5" t="inlineStr">
        <is>
          <t>GLA</t>
        </is>
      </c>
      <c r="B5" t="inlineStr">
        <is>
          <t>4361936</t>
        </is>
      </c>
      <c r="C5" t="inlineStr">
        <is>
          <t>Jolie</t>
        </is>
      </c>
      <c r="D5" t="inlineStr">
        <is>
          <t>Wang</t>
        </is>
      </c>
      <c r="E5" t="inlineStr">
        <is>
          <t>Yes</t>
        </is>
      </c>
      <c r="F5" t="inlineStr">
        <is>
          <t>Yes</t>
        </is>
      </c>
      <c r="G5" t="inlineStr">
        <is>
          <t>37</t>
        </is>
      </c>
      <c r="H5" t="inlineStr">
        <is>
          <t>pending</t>
        </is>
      </c>
      <c r="I5" t="n">
        <v>1</v>
      </c>
      <c r="J5" t="inlineStr">
        <is>
          <t>Female</t>
        </is>
      </c>
      <c r="K5" t="inlineStr">
        <is>
          <t>2011-01-20</t>
        </is>
      </c>
      <c r="L5" t="n">
        <v>15</v>
      </c>
      <c r="M5" t="inlineStr">
        <is>
          <t>(626) 560-8082</t>
        </is>
      </c>
      <c r="N5" t="inlineStr">
        <is>
          <t>joliewang12@gmail.com</t>
        </is>
      </c>
      <c r="O5" t="inlineStr">
        <is>
          <t>Consent form status unknown or not provided</t>
        </is>
      </c>
      <c r="P5" t="inlineStr">
        <is>
          <t>1. Correct identity, gender, age range</t>
        </is>
      </c>
      <c r="Q5" t="inlineStr"/>
      <c r="R5" t="inlineStr">
        <is>
          <t>3. Account created on Member Portal and logged in</t>
        </is>
      </c>
      <c r="S5" t="inlineStr">
        <is>
          <t>4. Valid Photo as ID for event check-in</t>
        </is>
      </c>
      <c r="T5" t="inlineStr"/>
      <c r="U5" t="inlineStr"/>
      <c r="V5">
        <f>HYPERLINK("https://chmeetings.blob.core.windows.net/846969/attachments/MiQBuOnZk0eapDUpawDkNA/5295deb6-c6cd-4150-b7b5-d64dd70083b6.jpg", "https://chmeetings.blob.core.windows.net/846969/attachments/MiQBuOnZk0eapDUpawDkNA/5295deb6-c6cd-4150-b7b5-d64dd70083b6.jpg")</f>
        <v/>
      </c>
      <c r="W5" t="inlineStr">
        <is>
          <t>2026-05-02 19:51:59</t>
        </is>
      </c>
    </row>
    <row r="6">
      <c r="A6" t="inlineStr">
        <is>
          <t>GLA</t>
        </is>
      </c>
      <c r="B6" t="inlineStr">
        <is>
          <t>3622669</t>
        </is>
      </c>
      <c r="C6" t="inlineStr">
        <is>
          <t>Brittany</t>
        </is>
      </c>
      <c r="D6" t="inlineStr">
        <is>
          <t>Huynh</t>
        </is>
      </c>
      <c r="E6" t="inlineStr">
        <is>
          <t>Yes</t>
        </is>
      </c>
      <c r="F6" t="inlineStr">
        <is>
          <t>Yes</t>
        </is>
      </c>
      <c r="G6" t="inlineStr">
        <is>
          <t>35</t>
        </is>
      </c>
      <c r="H6" t="inlineStr">
        <is>
          <t>pending_approval</t>
        </is>
      </c>
      <c r="I6" t="n">
        <v>0</v>
      </c>
      <c r="J6" t="inlineStr">
        <is>
          <t>Female</t>
        </is>
      </c>
      <c r="K6" t="inlineStr">
        <is>
          <t>1997-08-26</t>
        </is>
      </c>
      <c r="L6" t="n">
        <v>28</v>
      </c>
      <c r="M6" t="inlineStr">
        <is>
          <t>(818) 681-6010</t>
        </is>
      </c>
      <c r="N6" t="inlineStr">
        <is>
          <t>brittany.huynh08@gmail.com</t>
        </is>
      </c>
      <c r="O6" t="inlineStr"/>
      <c r="P6" t="inlineStr">
        <is>
          <t>1. Correct identity, gender, age range</t>
        </is>
      </c>
      <c r="Q6" t="inlineStr">
        <is>
          <t>2. Consent Form Signed by Self or Parents</t>
        </is>
      </c>
      <c r="R6" t="inlineStr">
        <is>
          <t>3. Account created on Member Portal and logged in</t>
        </is>
      </c>
      <c r="S6" t="inlineStr">
        <is>
          <t>4. Valid Photo as ID for event check-in</t>
        </is>
      </c>
      <c r="T6" t="inlineStr"/>
      <c r="U6" t="inlineStr"/>
      <c r="V6">
        <f>HYPERLINK("https://chmeetings.blob.core.windows.net/846969/attachments/uJkCrgqNzkSEZSsvBrzxzg/dd65d621-0f48-4d4b-bceb-4bdde79b8168.jpg", "https://chmeetings.blob.core.windows.net/846969/attachments/uJkCrgqNzkSEZSsvBrzxzg/dd65d621-0f48-4d4b-bceb-4bdde79b8168.jpg")</f>
        <v/>
      </c>
      <c r="W6" t="inlineStr">
        <is>
          <t>2026-05-02 19:50:27</t>
        </is>
      </c>
    </row>
    <row r="7">
      <c r="A7" t="inlineStr">
        <is>
          <t>GLA</t>
        </is>
      </c>
      <c r="B7" t="inlineStr">
        <is>
          <t>3626538</t>
        </is>
      </c>
      <c r="C7" t="inlineStr">
        <is>
          <t>Sophia</t>
        </is>
      </c>
      <c r="D7" t="inlineStr">
        <is>
          <t>Ly</t>
        </is>
      </c>
      <c r="E7" t="inlineStr">
        <is>
          <t>Yes</t>
        </is>
      </c>
      <c r="F7" t="inlineStr">
        <is>
          <t>No</t>
        </is>
      </c>
      <c r="G7" t="inlineStr">
        <is>
          <t>93</t>
        </is>
      </c>
      <c r="H7" t="inlineStr">
        <is>
          <t>validated</t>
        </is>
      </c>
      <c r="I7" t="n">
        <v>0</v>
      </c>
      <c r="J7" t="inlineStr">
        <is>
          <t>Female</t>
        </is>
      </c>
      <c r="K7" t="inlineStr">
        <is>
          <t>1996-10-29</t>
        </is>
      </c>
      <c r="L7" t="n">
        <v>29</v>
      </c>
      <c r="M7" t="inlineStr">
        <is>
          <t>(626) 993-8265</t>
        </is>
      </c>
      <c r="N7" t="inlineStr">
        <is>
          <t>Nousesyly@gmail.com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HYPERLINK("https://chmeetings.blob.core.windows.net/846969/attachments/q2lPenc10mkyifWDpteDw/d35966b3-7913-4313-ada9-9e3f70d94f15.jpg", "https://chmeetings.blob.core.windows.net/846969/attachments/q2lPenc10mkyifWDpteDw/d35966b3-7913-4313-ada9-9e3f70d94f15.jpg")</f>
        <v/>
      </c>
      <c r="W7" t="inlineStr">
        <is>
          <t>2026-05-03 21:46:41</t>
        </is>
      </c>
    </row>
    <row r="8">
      <c r="A8" t="inlineStr">
        <is>
          <t>GLA</t>
        </is>
      </c>
      <c r="B8" t="inlineStr">
        <is>
          <t>3615916</t>
        </is>
      </c>
      <c r="C8" t="inlineStr">
        <is>
          <t>Thu</t>
        </is>
      </c>
      <c r="D8" t="inlineStr">
        <is>
          <t>Mai</t>
        </is>
      </c>
      <c r="E8" t="inlineStr">
        <is>
          <t>Yes</t>
        </is>
      </c>
      <c r="F8" t="inlineStr">
        <is>
          <t>Yes</t>
        </is>
      </c>
      <c r="G8" t="inlineStr">
        <is>
          <t>40</t>
        </is>
      </c>
      <c r="H8" t="inlineStr">
        <is>
          <t>pending_approval</t>
        </is>
      </c>
      <c r="I8" t="n">
        <v>0</v>
      </c>
      <c r="J8" t="inlineStr">
        <is>
          <t>Male</t>
        </is>
      </c>
      <c r="K8" t="inlineStr">
        <is>
          <t>1995-11-18</t>
        </is>
      </c>
      <c r="L8" t="n">
        <v>30</v>
      </c>
      <c r="M8" t="inlineStr">
        <is>
          <t>(213) 550-6758</t>
        </is>
      </c>
      <c r="N8" t="inlineStr">
        <is>
          <t>Mai2twix@gmail.com</t>
        </is>
      </c>
      <c r="O8" t="inlineStr"/>
      <c r="P8" t="inlineStr">
        <is>
          <t>1. Correct identity, gender, age range</t>
        </is>
      </c>
      <c r="Q8" t="inlineStr">
        <is>
          <t>2. Consent Form Signed by Self or Parents</t>
        </is>
      </c>
      <c r="R8" t="inlineStr">
        <is>
          <t>3. Account created on Member Portal and logged in</t>
        </is>
      </c>
      <c r="S8" t="inlineStr">
        <is>
          <t>4. Valid Photo as ID for event check-in</t>
        </is>
      </c>
      <c r="T8" t="inlineStr"/>
      <c r="U8" t="inlineStr"/>
      <c r="V8">
        <f>HYPERLINK("https://chmeetings.blob.core.windows.net/846969/attachments/kZ8EYhJrK02XqidXFTFjaA/a31be902-82b7-46d4-99d9-bcb4f0d9a080.jpg", "https://chmeetings.blob.core.windows.net/846969/attachments/kZ8EYhJrK02XqidXFTFjaA/a31be902-82b7-46d4-99d9-bcb4f0d9a080.jpg")</f>
        <v/>
      </c>
      <c r="W8" t="inlineStr">
        <is>
          <t>2026-05-02 19:47:12</t>
        </is>
      </c>
    </row>
    <row r="9">
      <c r="A9" t="inlineStr">
        <is>
          <t>GLA</t>
        </is>
      </c>
      <c r="B9" t="inlineStr">
        <is>
          <t>3570848</t>
        </is>
      </c>
      <c r="C9" t="inlineStr">
        <is>
          <t>Edwin Joshua</t>
        </is>
      </c>
      <c r="D9" t="inlineStr">
        <is>
          <t>Miciano</t>
        </is>
      </c>
      <c r="E9" t="inlineStr">
        <is>
          <t>Yes</t>
        </is>
      </c>
      <c r="F9" t="inlineStr">
        <is>
          <t>Yes</t>
        </is>
      </c>
      <c r="G9" t="inlineStr">
        <is>
          <t>90</t>
        </is>
      </c>
      <c r="H9" t="inlineStr">
        <is>
          <t>pending_approval</t>
        </is>
      </c>
      <c r="I9" t="n">
        <v>0</v>
      </c>
      <c r="J9" t="inlineStr">
        <is>
          <t>Male</t>
        </is>
      </c>
      <c r="K9" t="inlineStr">
        <is>
          <t>2000-08-21</t>
        </is>
      </c>
      <c r="L9" t="n">
        <v>25</v>
      </c>
      <c r="M9" t="inlineStr">
        <is>
          <t>(818) 572-5802</t>
        </is>
      </c>
      <c r="N9" t="inlineStr">
        <is>
          <t>ejomiciano@gmail.com</t>
        </is>
      </c>
      <c r="O9" t="inlineStr"/>
      <c r="P9" t="inlineStr">
        <is>
          <t>1. Correct identity, gender, age range</t>
        </is>
      </c>
      <c r="Q9" t="inlineStr">
        <is>
          <t>2. Consent Form Signed by Self or Parents</t>
        </is>
      </c>
      <c r="R9" t="inlineStr">
        <is>
          <t>3. Account created on Member Portal and logged in</t>
        </is>
      </c>
      <c r="S9" t="inlineStr">
        <is>
          <t>4. Valid Photo as ID for event check-in</t>
        </is>
      </c>
      <c r="T9" t="inlineStr"/>
      <c r="U9" t="inlineStr"/>
      <c r="V9">
        <f>HYPERLINK("https://chmeetings.blob.core.windows.net/846969/attachments/9nPE07rppUmkSggzO9ESg/47d06526-4fa5-4234-9c13-94ab1e6ca296.jpg", "https://chmeetings.blob.core.windows.net/846969/attachments/9nPE07rppUmkSggzO9ESg/47d06526-4fa5-4234-9c13-94ab1e6ca296.jpg")</f>
        <v/>
      </c>
      <c r="W9" t="inlineStr">
        <is>
          <t>2026-05-03 21:47:46</t>
        </is>
      </c>
    </row>
    <row r="10">
      <c r="A10" t="inlineStr">
        <is>
          <t>GLA</t>
        </is>
      </c>
      <c r="B10" t="inlineStr">
        <is>
          <t>3629598</t>
        </is>
      </c>
      <c r="C10" t="inlineStr">
        <is>
          <t>Jason</t>
        </is>
      </c>
      <c r="D10" t="inlineStr">
        <is>
          <t>Ngo</t>
        </is>
      </c>
      <c r="E10" t="inlineStr">
        <is>
          <t>Yes</t>
        </is>
      </c>
      <c r="F10" t="inlineStr">
        <is>
          <t>Yes</t>
        </is>
      </c>
      <c r="G10" t="inlineStr">
        <is>
          <t>36</t>
        </is>
      </c>
      <c r="H10" t="inlineStr">
        <is>
          <t>pending_approval</t>
        </is>
      </c>
      <c r="I10" t="n">
        <v>0</v>
      </c>
      <c r="J10" t="inlineStr">
        <is>
          <t>Male</t>
        </is>
      </c>
      <c r="K10" t="inlineStr">
        <is>
          <t>2007-11-25</t>
        </is>
      </c>
      <c r="L10" t="n">
        <v>18</v>
      </c>
      <c r="M10" t="inlineStr">
        <is>
          <t>(626) 382-9183</t>
        </is>
      </c>
      <c r="N10" t="inlineStr">
        <is>
          <t>ngojason99@gmail.com</t>
        </is>
      </c>
      <c r="O10" t="inlineStr"/>
      <c r="P10" t="inlineStr">
        <is>
          <t>1. Correct identity, gender, age range</t>
        </is>
      </c>
      <c r="Q10" t="inlineStr">
        <is>
          <t>2. Consent Form Signed by Self or Parents</t>
        </is>
      </c>
      <c r="R10" t="inlineStr">
        <is>
          <t>3. Account created on Member Portal and logged in</t>
        </is>
      </c>
      <c r="S10" t="inlineStr">
        <is>
          <t>4. Valid Photo as ID for event check-in</t>
        </is>
      </c>
      <c r="T10" t="inlineStr"/>
      <c r="U10" t="inlineStr"/>
      <c r="V10">
        <f>HYPERLINK("https://chmeetings.blob.core.windows.net/846969/attachments/BXJuEt43kmCzzwySYy0w/35a1da42-670c-46b3-a780-f0a182a01ab2.jpg", "https://chmeetings.blob.core.windows.net/846969/attachments/BXJuEt43kmCzzwySYy0w/35a1da42-670c-46b3-a780-f0a182a01ab2.jpg")</f>
        <v/>
      </c>
      <c r="W10" t="inlineStr">
        <is>
          <t>2026-05-02 19:50:44</t>
        </is>
      </c>
    </row>
    <row r="11">
      <c r="A11" t="inlineStr">
        <is>
          <t>GLA</t>
        </is>
      </c>
      <c r="B11" t="inlineStr">
        <is>
          <t>3476631</t>
        </is>
      </c>
      <c r="C11" t="inlineStr">
        <is>
          <t>Rebecca</t>
        </is>
      </c>
      <c r="D11" t="inlineStr">
        <is>
          <t>Nguyen</t>
        </is>
      </c>
      <c r="E11" t="inlineStr">
        <is>
          <t>Yes</t>
        </is>
      </c>
      <c r="F11" t="inlineStr">
        <is>
          <t>Yes</t>
        </is>
      </c>
      <c r="G11" t="inlineStr">
        <is>
          <t>39</t>
        </is>
      </c>
      <c r="H11" t="inlineStr">
        <is>
          <t>validated</t>
        </is>
      </c>
      <c r="I11" t="n">
        <v>0</v>
      </c>
      <c r="J11" t="inlineStr">
        <is>
          <t>Female</t>
        </is>
      </c>
      <c r="K11" t="inlineStr">
        <is>
          <t>2002-06-21</t>
        </is>
      </c>
      <c r="L11" t="n">
        <v>24</v>
      </c>
      <c r="M11" t="inlineStr">
        <is>
          <t>(818) 212-8589</t>
        </is>
      </c>
      <c r="N11" t="inlineStr">
        <is>
          <t>rebeccanguyen0621@gmail.com</t>
        </is>
      </c>
      <c r="O11" t="inlineStr"/>
      <c r="P11" t="inlineStr">
        <is>
          <t>1. Correct identity, gender, age range</t>
        </is>
      </c>
      <c r="Q11" t="inlineStr"/>
      <c r="R11" t="inlineStr">
        <is>
          <t>3. Account created on Member Portal and logged in</t>
        </is>
      </c>
      <c r="S11" t="inlineStr">
        <is>
          <t>4. Valid Photo as ID for event check-in</t>
        </is>
      </c>
      <c r="T11" t="inlineStr"/>
      <c r="U11" t="inlineStr"/>
      <c r="V11">
        <f>HYPERLINK("https://chmeetings.blob.core.windows.net/846969/attachments/CakuT0nFcE6wgbtq4gPaVg/94bed426-bace-4116-89e1-37cf2dfbec3c.jpg", "https://chmeetings.blob.core.windows.net/846969/attachments/CakuT0nFcE6wgbtq4gPaVg/94bed426-bace-4116-89e1-37cf2dfbec3c.jpg")</f>
        <v/>
      </c>
      <c r="W11" t="inlineStr">
        <is>
          <t>2026-05-02 19:51:19</t>
        </is>
      </c>
    </row>
    <row r="12">
      <c r="A12" t="inlineStr">
        <is>
          <t>GLA</t>
        </is>
      </c>
      <c r="B12" t="inlineStr">
        <is>
          <t>3615944</t>
        </is>
      </c>
      <c r="C12" t="inlineStr">
        <is>
          <t>Johnson</t>
        </is>
      </c>
      <c r="D12" t="inlineStr">
        <is>
          <t>Pham</t>
        </is>
      </c>
      <c r="E12" t="inlineStr">
        <is>
          <t>Yes</t>
        </is>
      </c>
      <c r="F12" t="inlineStr">
        <is>
          <t>Yes</t>
        </is>
      </c>
      <c r="G12" t="inlineStr">
        <is>
          <t>91</t>
        </is>
      </c>
      <c r="H12" t="inlineStr">
        <is>
          <t>validated</t>
        </is>
      </c>
      <c r="I12" t="n">
        <v>0</v>
      </c>
      <c r="J12" t="inlineStr">
        <is>
          <t>Male</t>
        </is>
      </c>
      <c r="K12" t="inlineStr">
        <is>
          <t>1998-04-16</t>
        </is>
      </c>
      <c r="L12" t="n">
        <v>28</v>
      </c>
      <c r="M12" t="inlineStr">
        <is>
          <t>(626) 940-6989</t>
        </is>
      </c>
      <c r="N12" t="inlineStr">
        <is>
          <t>Johnson.hpham98@gmail.com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HYPERLINK("https://chmeetings.blob.core.windows.net/846969/attachments/rYVJ4qoKkKAROIF7jl8aw/b8c5c502-e207-415e-860d-5ced9831efc8.jpg", "https://chmeetings.blob.core.windows.net/846969/attachments/rYVJ4qoKkKAROIF7jl8aw/b8c5c502-e207-415e-860d-5ced9831efc8.jpg")</f>
        <v/>
      </c>
      <c r="W12" t="inlineStr">
        <is>
          <t>2026-05-03 21:54:32</t>
        </is>
      </c>
    </row>
    <row r="13">
      <c r="A13" t="inlineStr">
        <is>
          <t>GLA</t>
        </is>
      </c>
      <c r="B13" t="inlineStr">
        <is>
          <t>3625818</t>
        </is>
      </c>
      <c r="C13" t="inlineStr">
        <is>
          <t>Kristine</t>
        </is>
      </c>
      <c r="D13" t="inlineStr">
        <is>
          <t>Pham</t>
        </is>
      </c>
      <c r="E13" t="inlineStr">
        <is>
          <t>Yes</t>
        </is>
      </c>
      <c r="F13" t="inlineStr">
        <is>
          <t>Yes</t>
        </is>
      </c>
      <c r="G13" t="inlineStr">
        <is>
          <t>92</t>
        </is>
      </c>
      <c r="H13" t="inlineStr">
        <is>
          <t>validated</t>
        </is>
      </c>
      <c r="I13" t="n">
        <v>0</v>
      </c>
      <c r="J13" t="inlineStr">
        <is>
          <t>Female</t>
        </is>
      </c>
      <c r="K13" t="inlineStr">
        <is>
          <t>1999-08-06</t>
        </is>
      </c>
      <c r="L13" t="n">
        <v>26</v>
      </c>
      <c r="M13" t="inlineStr">
        <is>
          <t>(626) 940-7093</t>
        </is>
      </c>
      <c r="N13" t="inlineStr">
        <is>
          <t>Kristinephammy@gmail.com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HYPERLINK("https://chmeetings.blob.core.windows.net/846969/attachments/OSCmy82Y7Ua7YlAvx7rpoA/a5c208c0-832a-4714-9b87-ba8388868c91.jpg", "https://chmeetings.blob.core.windows.net/846969/attachments/OSCmy82Y7Ua7YlAvx7rpoA/a5c208c0-832a-4714-9b87-ba8388868c91.jpg")</f>
        <v/>
      </c>
      <c r="W13" t="inlineStr">
        <is>
          <t>2026-05-03 22:04:15</t>
        </is>
      </c>
    </row>
  </sheetData>
  <autoFilter ref="A1:W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5.5" customWidth="1" min="4" max="4"/>
    <col width="8.5" customWidth="1" min="5" max="5"/>
    <col width="50" customWidth="1" min="6" max="6"/>
    <col width="4.5" customWidth="1" min="7" max="7"/>
    <col width="4" customWidth="1" min="8" max="8"/>
    <col width="5" customWidth="1" min="9" max="9"/>
    <col width="9" customWidth="1" min="10" max="10"/>
    <col width="9" customWidth="1" min="11" max="11"/>
    <col width="12.5" customWidth="1" min="12" max="12"/>
    <col width="7" customWidth="1" min="13" max="13"/>
    <col width="8" customWidth="1" min="14" max="14"/>
    <col width="4" customWidth="1" min="15" max="15"/>
    <col width="7" customWidth="1" min="16" max="16"/>
    <col width="6.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GLA</t>
        </is>
      </c>
      <c r="B2" t="inlineStr">
        <is>
          <t>3626538</t>
        </is>
      </c>
      <c r="C2" t="inlineStr">
        <is>
          <t>93</t>
        </is>
      </c>
      <c r="D2" t="inlineStr">
        <is>
          <t>validated</t>
        </is>
      </c>
      <c r="E2" t="b">
        <v>0</v>
      </c>
      <c r="F2">
        <f>IMAGE("https://chmeetings.blob.core.windows.net/846969/attachments/q2lPenc10mkyifWDpteDw/d35966b3-7913-4313-ada9-9e3f70d94f15.jpg")</f>
        <v/>
      </c>
      <c r="G2" t="inlineStr">
        <is>
          <t>Sophia</t>
        </is>
      </c>
      <c r="H2" t="inlineStr">
        <is>
          <t>Ly</t>
        </is>
      </c>
      <c r="I2" t="inlineStr">
        <is>
          <t>Female</t>
        </is>
      </c>
      <c r="J2" t="n">
        <v>29</v>
      </c>
      <c r="K2" t="inlineStr">
        <is>
          <t>(626) 993-8265</t>
        </is>
      </c>
      <c r="L2" t="inlineStr">
        <is>
          <t>Nousesyly@gmail.com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>
        <is>
          <t>Thien Lau</t>
        </is>
      </c>
    </row>
    <row r="3">
      <c r="A3" t="inlineStr">
        <is>
          <t>GLA</t>
        </is>
      </c>
      <c r="B3" t="inlineStr">
        <is>
          <t>3570848</t>
        </is>
      </c>
      <c r="C3" t="inlineStr">
        <is>
          <t>90</t>
        </is>
      </c>
      <c r="D3" t="inlineStr">
        <is>
          <t>pending_approval</t>
        </is>
      </c>
      <c r="E3" t="b">
        <v>1</v>
      </c>
      <c r="F3">
        <f>IMAGE("https://chmeetings.blob.core.windows.net/846969/attachments/9nPE07rppUmkSggzO9ESg/47d06526-4fa5-4234-9c13-94ab1e6ca296.jpg")</f>
        <v/>
      </c>
      <c r="G3" t="inlineStr">
        <is>
          <t>Edwin Joshua</t>
        </is>
      </c>
      <c r="H3" t="inlineStr">
        <is>
          <t>Miciano</t>
        </is>
      </c>
      <c r="I3" t="inlineStr">
        <is>
          <t>Male</t>
        </is>
      </c>
      <c r="J3" t="n">
        <v>25</v>
      </c>
      <c r="K3" t="inlineStr">
        <is>
          <t>(818) 572-5802</t>
        </is>
      </c>
      <c r="L3" t="inlineStr">
        <is>
          <t>ejomiciano@gmail.com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GLA</t>
        </is>
      </c>
      <c r="B4" t="inlineStr">
        <is>
          <t>3629598</t>
        </is>
      </c>
      <c r="C4" t="inlineStr">
        <is>
          <t>36</t>
        </is>
      </c>
      <c r="D4" t="inlineStr">
        <is>
          <t>pending_approval</t>
        </is>
      </c>
      <c r="E4" t="b">
        <v>1</v>
      </c>
      <c r="F4">
        <f>IMAGE("https://chmeetings.blob.core.windows.net/846969/attachments/BXJuEt43kmCzzwySYy0w/35a1da42-670c-46b3-a780-f0a182a01ab2.jpg")</f>
        <v/>
      </c>
      <c r="G4" t="inlineStr">
        <is>
          <t>Jason</t>
        </is>
      </c>
      <c r="H4" t="inlineStr">
        <is>
          <t>Ngo</t>
        </is>
      </c>
      <c r="I4" t="inlineStr">
        <is>
          <t>Male</t>
        </is>
      </c>
      <c r="J4" t="n">
        <v>18</v>
      </c>
      <c r="K4" t="inlineStr">
        <is>
          <t>(626) 382-9183</t>
        </is>
      </c>
      <c r="L4" t="inlineStr">
        <is>
          <t>ngojason99@gmail.com</t>
        </is>
      </c>
      <c r="M4" t="inlineStr">
        <is>
          <t>Basketball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GLA</t>
        </is>
      </c>
      <c r="B5" t="inlineStr">
        <is>
          <t>3622669</t>
        </is>
      </c>
      <c r="C5" t="inlineStr">
        <is>
          <t>35</t>
        </is>
      </c>
      <c r="D5" t="inlineStr">
        <is>
          <t>pending_approval</t>
        </is>
      </c>
      <c r="E5" t="b">
        <v>1</v>
      </c>
      <c r="F5">
        <f>IMAGE("https://chmeetings.blob.core.windows.net/846969/attachments/uJkCrgqNzkSEZSsvBrzxzg/dd65d621-0f48-4d4b-bceb-4bdde79b8168.jpg")</f>
        <v/>
      </c>
      <c r="G5" t="inlineStr">
        <is>
          <t>Brittany</t>
        </is>
      </c>
      <c r="H5" t="inlineStr">
        <is>
          <t>Huynh</t>
        </is>
      </c>
      <c r="I5" t="inlineStr">
        <is>
          <t>Female</t>
        </is>
      </c>
      <c r="J5" t="n">
        <v>28</v>
      </c>
      <c r="K5" t="inlineStr">
        <is>
          <t>(818) 681-6010</t>
        </is>
      </c>
      <c r="L5" t="inlineStr">
        <is>
          <t>brittany.huynh08@gmail.com</t>
        </is>
      </c>
      <c r="M5" t="inlineStr">
        <is>
          <t>Bible Challenge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GLA</t>
        </is>
      </c>
      <c r="B6" t="inlineStr">
        <is>
          <t>3615916</t>
        </is>
      </c>
      <c r="C6" t="inlineStr">
        <is>
          <t>40</t>
        </is>
      </c>
      <c r="D6" t="inlineStr">
        <is>
          <t>pending_approval</t>
        </is>
      </c>
      <c r="E6" t="b">
        <v>1</v>
      </c>
      <c r="F6">
        <f>IMAGE("https://chmeetings.blob.core.windows.net/846969/attachments/kZ8EYhJrK02XqidXFTFjaA/a31be902-82b7-46d4-99d9-bcb4f0d9a080.jpg")</f>
        <v/>
      </c>
      <c r="G6" t="inlineStr">
        <is>
          <t>Thu</t>
        </is>
      </c>
      <c r="H6" t="inlineStr">
        <is>
          <t>Mai</t>
        </is>
      </c>
      <c r="I6" t="inlineStr">
        <is>
          <t>Male</t>
        </is>
      </c>
      <c r="J6" t="n">
        <v>30</v>
      </c>
      <c r="K6" t="inlineStr">
        <is>
          <t>(213) 550-6758</t>
        </is>
      </c>
      <c r="L6" t="inlineStr">
        <is>
          <t>Mai2twix@gmail.com</t>
        </is>
      </c>
      <c r="M6" t="inlineStr">
        <is>
          <t>Bible Challenge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GLA</t>
        </is>
      </c>
      <c r="B7" t="inlineStr">
        <is>
          <t>3476631</t>
        </is>
      </c>
      <c r="C7" t="inlineStr">
        <is>
          <t>39</t>
        </is>
      </c>
      <c r="D7" t="inlineStr">
        <is>
          <t>validated</t>
        </is>
      </c>
      <c r="E7" t="b">
        <v>1</v>
      </c>
      <c r="F7">
        <f>IMAGE("https://chmeetings.blob.core.windows.net/846969/attachments/CakuT0nFcE6wgbtq4gPaVg/94bed426-bace-4116-89e1-37cf2dfbec3c.jpg")</f>
        <v/>
      </c>
      <c r="G7" t="inlineStr">
        <is>
          <t>Rebecca</t>
        </is>
      </c>
      <c r="H7" t="inlineStr">
        <is>
          <t>Nguyen</t>
        </is>
      </c>
      <c r="I7" t="inlineStr">
        <is>
          <t>Female</t>
        </is>
      </c>
      <c r="J7" t="n">
        <v>24</v>
      </c>
      <c r="K7" t="inlineStr">
        <is>
          <t>(818) 212-8589</t>
        </is>
      </c>
      <c r="L7" t="inlineStr">
        <is>
          <t>rebeccanguyen0621@gmail.com</t>
        </is>
      </c>
      <c r="M7" t="inlineStr">
        <is>
          <t>Bible Challenge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GLA</t>
        </is>
      </c>
      <c r="B8" t="inlineStr">
        <is>
          <t>3615944</t>
        </is>
      </c>
      <c r="C8" t="inlineStr">
        <is>
          <t>91</t>
        </is>
      </c>
      <c r="D8" t="inlineStr">
        <is>
          <t>validated</t>
        </is>
      </c>
      <c r="E8" t="b">
        <v>1</v>
      </c>
      <c r="F8">
        <f>IMAGE("https://chmeetings.blob.core.windows.net/846969/attachments/rYVJ4qoKkKAROIF7jl8aw/b8c5c502-e207-415e-860d-5ced9831efc8.jpg")</f>
        <v/>
      </c>
      <c r="G8" t="inlineStr">
        <is>
          <t>Johnson</t>
        </is>
      </c>
      <c r="H8" t="inlineStr">
        <is>
          <t>Pham</t>
        </is>
      </c>
      <c r="I8" t="inlineStr">
        <is>
          <t>Male</t>
        </is>
      </c>
      <c r="J8" t="n">
        <v>28</v>
      </c>
      <c r="K8" t="inlineStr">
        <is>
          <t>(626) 940-6989</t>
        </is>
      </c>
      <c r="L8" t="inlineStr">
        <is>
          <t>Johnson.hpham98@gmail.com</t>
        </is>
      </c>
      <c r="M8" t="inlineStr">
        <is>
          <t>Pickleball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GLA</t>
        </is>
      </c>
      <c r="B9" t="inlineStr">
        <is>
          <t>3625818</t>
        </is>
      </c>
      <c r="C9" t="inlineStr">
        <is>
          <t>92</t>
        </is>
      </c>
      <c r="D9" t="inlineStr">
        <is>
          <t>validated</t>
        </is>
      </c>
      <c r="E9" t="b">
        <v>1</v>
      </c>
      <c r="F9">
        <f>IMAGE("https://chmeetings.blob.core.windows.net/846969/attachments/OSCmy82Y7Ua7YlAvx7rpoA/a5c208c0-832a-4714-9b87-ba8388868c91.jpg")</f>
        <v/>
      </c>
      <c r="G9" t="inlineStr">
        <is>
          <t>Kristine</t>
        </is>
      </c>
      <c r="H9" t="inlineStr">
        <is>
          <t>Pham</t>
        </is>
      </c>
      <c r="I9" t="inlineStr">
        <is>
          <t>Female</t>
        </is>
      </c>
      <c r="J9" t="n">
        <v>26</v>
      </c>
      <c r="K9" t="inlineStr">
        <is>
          <t>(626) 940-7093</t>
        </is>
      </c>
      <c r="L9" t="inlineStr">
        <is>
          <t>Kristinephammy@gmail.com</t>
        </is>
      </c>
      <c r="M9" t="inlineStr">
        <is>
          <t>Pickleball</t>
        </is>
      </c>
      <c r="N9" t="inlineStr">
        <is>
          <t>Women</t>
        </is>
      </c>
      <c r="O9" t="inlineStr">
        <is>
          <t>Doubles</t>
        </is>
      </c>
      <c r="P9" t="inlineStr"/>
      <c r="Q9" t="inlineStr">
        <is>
          <t>Breanne huynh</t>
        </is>
      </c>
    </row>
    <row r="10">
      <c r="A10" t="inlineStr">
        <is>
          <t>GLA</t>
        </is>
      </c>
      <c r="B10" t="inlineStr">
        <is>
          <t>3629646</t>
        </is>
      </c>
      <c r="C10" t="inlineStr">
        <is>
          <t>41</t>
        </is>
      </c>
      <c r="D10" t="inlineStr">
        <is>
          <t>pending</t>
        </is>
      </c>
      <c r="E10" t="b">
        <v>1</v>
      </c>
      <c r="F10">
        <f>IMAGE("https://chmeetings.blob.core.windows.net/846969/attachments/WfQk1w0b0O76DBIEeFaag/f6059547-2901-4815-b55d-66de1acd7f37.jpg")</f>
        <v/>
      </c>
      <c r="G10" t="inlineStr">
        <is>
          <t>Timothy</t>
        </is>
      </c>
      <c r="H10" t="inlineStr">
        <is>
          <t>Le</t>
        </is>
      </c>
      <c r="I10" t="inlineStr">
        <is>
          <t>Male</t>
        </is>
      </c>
      <c r="J10" t="n">
        <v>14</v>
      </c>
      <c r="K10" t="inlineStr">
        <is>
          <t>(747) 236-9493</t>
        </is>
      </c>
      <c r="L10" t="inlineStr">
        <is>
          <t>tle0168@mymail.lausd.net</t>
        </is>
      </c>
      <c r="M10" t="inlineStr">
        <is>
          <t>Table Tennis</t>
        </is>
      </c>
      <c r="N10" t="inlineStr">
        <is>
          <t>Men</t>
        </is>
      </c>
      <c r="O10" t="inlineStr">
        <is>
          <t>Singles</t>
        </is>
      </c>
      <c r="P10" t="inlineStr"/>
      <c r="Q10" t="inlineStr"/>
    </row>
    <row r="11">
      <c r="A11" t="inlineStr">
        <is>
          <t>GLA</t>
        </is>
      </c>
      <c r="B11" t="inlineStr">
        <is>
          <t>3615945</t>
        </is>
      </c>
      <c r="C11" t="inlineStr">
        <is>
          <t>38</t>
        </is>
      </c>
      <c r="D11" t="inlineStr">
        <is>
          <t>pending</t>
        </is>
      </c>
      <c r="E11" t="b">
        <v>1</v>
      </c>
      <c r="F11">
        <f>IMAGE("https://chmeetings.blob.core.windows.net/846969/attachments/m8ZIG9l0q0SQqgX5gZgIiw/bfdaebb3-efb9-4138-83ee-93fa773220cd.jpg")</f>
        <v/>
      </c>
      <c r="G11" t="inlineStr">
        <is>
          <t>Noah</t>
        </is>
      </c>
      <c r="H11" t="inlineStr">
        <is>
          <t>Nguyen</t>
        </is>
      </c>
      <c r="I11" t="inlineStr">
        <is>
          <t>Male</t>
        </is>
      </c>
      <c r="J11" t="n">
        <v>16</v>
      </c>
      <c r="K11" t="inlineStr">
        <is>
          <t>(818) 471-6453</t>
        </is>
      </c>
      <c r="L11" t="inlineStr">
        <is>
          <t>nnguyen0063@mymail.lausd.net</t>
        </is>
      </c>
      <c r="M11" t="inlineStr">
        <is>
          <t>Table Tennis</t>
        </is>
      </c>
      <c r="N11" t="inlineStr">
        <is>
          <t>Men</t>
        </is>
      </c>
      <c r="O11" t="inlineStr">
        <is>
          <t>Doubles</t>
        </is>
      </c>
      <c r="P11" t="inlineStr"/>
      <c r="Q11" t="inlineStr">
        <is>
          <t>Jeff Dang</t>
        </is>
      </c>
    </row>
    <row r="12">
      <c r="A12" t="inlineStr">
        <is>
          <t>GLA</t>
        </is>
      </c>
      <c r="B12" t="inlineStr">
        <is>
          <t>3570848</t>
        </is>
      </c>
      <c r="C12" t="inlineStr">
        <is>
          <t>90</t>
        </is>
      </c>
      <c r="D12" t="inlineStr">
        <is>
          <t>pending_approval</t>
        </is>
      </c>
      <c r="E12" t="b">
        <v>1</v>
      </c>
      <c r="F12">
        <f>IMAGE("https://chmeetings.blob.core.windows.net/846969/attachments/9nPE07rppUmkSggzO9ESg/47d06526-4fa5-4234-9c13-94ab1e6ca296.jpg")</f>
        <v/>
      </c>
      <c r="G12" t="inlineStr">
        <is>
          <t>Edwin Joshua</t>
        </is>
      </c>
      <c r="H12" t="inlineStr">
        <is>
          <t>Miciano</t>
        </is>
      </c>
      <c r="I12" t="inlineStr">
        <is>
          <t>Male</t>
        </is>
      </c>
      <c r="J12" t="n">
        <v>25</v>
      </c>
      <c r="K12" t="inlineStr">
        <is>
          <t>(818) 572-5802</t>
        </is>
      </c>
      <c r="L12" t="inlineStr">
        <is>
          <t>ejomiciano@gmail.com</t>
        </is>
      </c>
      <c r="M12" t="inlineStr">
        <is>
          <t>Track &amp; Field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GLA</t>
        </is>
      </c>
      <c r="B13" t="inlineStr">
        <is>
          <t>3629598</t>
        </is>
      </c>
      <c r="C13" t="inlineStr">
        <is>
          <t>36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IMAGE("https://chmeetings.blob.core.windows.net/846969/attachments/BXJuEt43kmCzzwySYy0w/35a1da42-670c-46b3-a780-f0a182a01ab2.jpg")</f>
        <v/>
      </c>
      <c r="G13" t="inlineStr">
        <is>
          <t>Jason</t>
        </is>
      </c>
      <c r="H13" t="inlineStr">
        <is>
          <t>Ngo</t>
        </is>
      </c>
      <c r="I13" t="inlineStr">
        <is>
          <t>Male</t>
        </is>
      </c>
      <c r="J13" t="n">
        <v>18</v>
      </c>
      <c r="K13" t="inlineStr">
        <is>
          <t>(626) 382-9183</t>
        </is>
      </c>
      <c r="L13" t="inlineStr">
        <is>
          <t>ngojason99@gmail.com</t>
        </is>
      </c>
      <c r="M13" t="inlineStr">
        <is>
          <t>Track &amp; Field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GLA</t>
        </is>
      </c>
      <c r="B14" t="inlineStr">
        <is>
          <t>3570848</t>
        </is>
      </c>
      <c r="C14" t="inlineStr">
        <is>
          <t>90</t>
        </is>
      </c>
      <c r="D14" t="inlineStr">
        <is>
          <t>pending_approval</t>
        </is>
      </c>
      <c r="E14" t="b">
        <v>1</v>
      </c>
      <c r="F14">
        <f>IMAGE("https://chmeetings.blob.core.windows.net/846969/attachments/9nPE07rppUmkSggzO9ESg/47d06526-4fa5-4234-9c13-94ab1e6ca296.jpg")</f>
        <v/>
      </c>
      <c r="G14" t="inlineStr">
        <is>
          <t>Edwin Joshua</t>
        </is>
      </c>
      <c r="H14" t="inlineStr">
        <is>
          <t>Miciano</t>
        </is>
      </c>
      <c r="I14" t="inlineStr">
        <is>
          <t>Male</t>
        </is>
      </c>
      <c r="J14" t="n">
        <v>25</v>
      </c>
      <c r="K14" t="inlineStr">
        <is>
          <t>(818) 572-5802</t>
        </is>
      </c>
      <c r="L14" t="inlineStr">
        <is>
          <t>ejomiciano@gmail.com</t>
        </is>
      </c>
      <c r="M14" t="inlineStr">
        <is>
          <t>Tug-of-war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GLA</t>
        </is>
      </c>
      <c r="B15" t="inlineStr">
        <is>
          <t>3629646</t>
        </is>
      </c>
      <c r="C15" t="inlineStr">
        <is>
          <t>41</t>
        </is>
      </c>
      <c r="D15" t="inlineStr">
        <is>
          <t>pending</t>
        </is>
      </c>
      <c r="E15" t="b">
        <v>1</v>
      </c>
      <c r="F15">
        <f>IMAGE("https://chmeetings.blob.core.windows.net/846969/attachments/WfQk1w0b0O76DBIEeFaag/f6059547-2901-4815-b55d-66de1acd7f37.jpg")</f>
        <v/>
      </c>
      <c r="G15" t="inlineStr">
        <is>
          <t>Timothy</t>
        </is>
      </c>
      <c r="H15" t="inlineStr">
        <is>
          <t>Le</t>
        </is>
      </c>
      <c r="I15" t="inlineStr">
        <is>
          <t>Male</t>
        </is>
      </c>
      <c r="J15" t="n">
        <v>14</v>
      </c>
      <c r="K15" t="inlineStr">
        <is>
          <t>(747) 236-9493</t>
        </is>
      </c>
      <c r="L15" t="inlineStr">
        <is>
          <t>tle0168@mymail.lausd.net</t>
        </is>
      </c>
      <c r="M15" t="inlineStr">
        <is>
          <t>Volleyball</t>
        </is>
      </c>
      <c r="N15" t="inlineStr">
        <is>
          <t>Men</t>
        </is>
      </c>
      <c r="O15" t="inlineStr">
        <is>
          <t>Team</t>
        </is>
      </c>
      <c r="P15" t="inlineStr"/>
      <c r="Q15" t="inlineStr"/>
    </row>
    <row r="16">
      <c r="A16" t="inlineStr">
        <is>
          <t>GLA</t>
        </is>
      </c>
      <c r="B16" t="inlineStr">
        <is>
          <t>3570848</t>
        </is>
      </c>
      <c r="C16" t="inlineStr">
        <is>
          <t>90</t>
        </is>
      </c>
      <c r="D16" t="inlineStr">
        <is>
          <t>pending_approval</t>
        </is>
      </c>
      <c r="E16" t="b">
        <v>1</v>
      </c>
      <c r="F16">
        <f>IMAGE("https://chmeetings.blob.core.windows.net/846969/attachments/9nPE07rppUmkSggzO9ESg/47d06526-4fa5-4234-9c13-94ab1e6ca296.jpg")</f>
        <v/>
      </c>
      <c r="G16" t="inlineStr">
        <is>
          <t>Edwin Joshua</t>
        </is>
      </c>
      <c r="H16" t="inlineStr">
        <is>
          <t>Miciano</t>
        </is>
      </c>
      <c r="I16" t="inlineStr">
        <is>
          <t>Male</t>
        </is>
      </c>
      <c r="J16" t="n">
        <v>25</v>
      </c>
      <c r="K16" t="inlineStr">
        <is>
          <t>(818) 572-5802</t>
        </is>
      </c>
      <c r="L16" t="inlineStr">
        <is>
          <t>ejomiciano@gmail.com</t>
        </is>
      </c>
      <c r="M16" t="inlineStr">
        <is>
          <t>Volleyball</t>
        </is>
      </c>
      <c r="N16" t="inlineStr">
        <is>
          <t>Men</t>
        </is>
      </c>
      <c r="O16" t="inlineStr">
        <is>
          <t>Team</t>
        </is>
      </c>
      <c r="P16" t="inlineStr"/>
      <c r="Q16" t="inlineStr"/>
    </row>
    <row r="17">
      <c r="A17" t="inlineStr">
        <is>
          <t>GLA</t>
        </is>
      </c>
      <c r="B17" t="inlineStr">
        <is>
          <t>3615945</t>
        </is>
      </c>
      <c r="C17" t="inlineStr">
        <is>
          <t>38</t>
        </is>
      </c>
      <c r="D17" t="inlineStr">
        <is>
          <t>pending</t>
        </is>
      </c>
      <c r="E17" t="b">
        <v>1</v>
      </c>
      <c r="F17">
        <f>IMAGE("https://chmeetings.blob.core.windows.net/846969/attachments/m8ZIG9l0q0SQqgX5gZgIiw/bfdaebb3-efb9-4138-83ee-93fa773220cd.jpg")</f>
        <v/>
      </c>
      <c r="G17" t="inlineStr">
        <is>
          <t>Noah</t>
        </is>
      </c>
      <c r="H17" t="inlineStr">
        <is>
          <t>Nguyen</t>
        </is>
      </c>
      <c r="I17" t="inlineStr">
        <is>
          <t>Male</t>
        </is>
      </c>
      <c r="J17" t="n">
        <v>16</v>
      </c>
      <c r="K17" t="inlineStr">
        <is>
          <t>(818) 471-6453</t>
        </is>
      </c>
      <c r="L17" t="inlineStr">
        <is>
          <t>nnguyen0063@mymail.lausd.net</t>
        </is>
      </c>
      <c r="M17" t="inlineStr">
        <is>
          <t>Volleyball</t>
        </is>
      </c>
      <c r="N17" t="inlineStr">
        <is>
          <t>Men</t>
        </is>
      </c>
      <c r="O17" t="inlineStr">
        <is>
          <t>Team</t>
        </is>
      </c>
      <c r="P17" t="inlineStr"/>
      <c r="Q17" t="inlineStr"/>
    </row>
    <row r="18">
      <c r="A18" t="inlineStr">
        <is>
          <t>GLA</t>
        </is>
      </c>
      <c r="B18" t="inlineStr">
        <is>
          <t>4361929</t>
        </is>
      </c>
      <c r="C18" t="inlineStr">
        <is>
          <t>42</t>
        </is>
      </c>
      <c r="D18" t="inlineStr">
        <is>
          <t>pending</t>
        </is>
      </c>
      <c r="E18" t="b">
        <v>1</v>
      </c>
      <c r="F18">
        <f>IMAGE("https://chmeetings.blob.core.windows.net/846969/attachments/ZHwVcAbhikGrvFy7cbAgOw/65c7c3f4-46ed-4da0-b2f4-61e31c920b9f.jpg")</f>
        <v/>
      </c>
      <c r="G18" t="inlineStr">
        <is>
          <t>Wynson</t>
        </is>
      </c>
      <c r="H18" t="inlineStr">
        <is>
          <t>Nong</t>
        </is>
      </c>
      <c r="I18" t="inlineStr">
        <is>
          <t>Male</t>
        </is>
      </c>
      <c r="J18" t="n">
        <v>14</v>
      </c>
      <c r="K18" t="inlineStr">
        <is>
          <t>(626) 975-1445</t>
        </is>
      </c>
      <c r="L18" t="inlineStr">
        <is>
          <t>Nongwynson@gmail.com</t>
        </is>
      </c>
      <c r="M18" t="inlineStr">
        <is>
          <t>Volleyball</t>
        </is>
      </c>
      <c r="N18" t="inlineStr">
        <is>
          <t>Men</t>
        </is>
      </c>
      <c r="O18" t="inlineStr">
        <is>
          <t>Team</t>
        </is>
      </c>
      <c r="P18" t="inlineStr"/>
      <c r="Q18" t="inlineStr"/>
    </row>
    <row r="19">
      <c r="A19" t="inlineStr">
        <is>
          <t>GLA</t>
        </is>
      </c>
      <c r="B19" t="inlineStr">
        <is>
          <t>3615944</t>
        </is>
      </c>
      <c r="C19" t="inlineStr">
        <is>
          <t>91</t>
        </is>
      </c>
      <c r="D19" t="inlineStr">
        <is>
          <t>validated</t>
        </is>
      </c>
      <c r="E19" t="b">
        <v>1</v>
      </c>
      <c r="F19">
        <f>IMAGE("https://chmeetings.blob.core.windows.net/846969/attachments/rYVJ4qoKkKAROIF7jl8aw/b8c5c502-e207-415e-860d-5ced9831efc8.jpg")</f>
        <v/>
      </c>
      <c r="G19" t="inlineStr">
        <is>
          <t>Johnson</t>
        </is>
      </c>
      <c r="H19" t="inlineStr">
        <is>
          <t>Pham</t>
        </is>
      </c>
      <c r="I19" t="inlineStr">
        <is>
          <t>Male</t>
        </is>
      </c>
      <c r="J19" t="n">
        <v>28</v>
      </c>
      <c r="K19" t="inlineStr">
        <is>
          <t>(626) 940-6989</t>
        </is>
      </c>
      <c r="L19" t="inlineStr">
        <is>
          <t>Johnson.hpham98@gmail.com</t>
        </is>
      </c>
      <c r="M19" t="inlineStr">
        <is>
          <t>Volleyball</t>
        </is>
      </c>
      <c r="N19" t="inlineStr">
        <is>
          <t>Men</t>
        </is>
      </c>
      <c r="O19" t="inlineStr">
        <is>
          <t>Team</t>
        </is>
      </c>
      <c r="P19" t="inlineStr"/>
      <c r="Q19" t="inlineStr"/>
    </row>
    <row r="20">
      <c r="A20" t="inlineStr">
        <is>
          <t>GLA</t>
        </is>
      </c>
      <c r="B20" t="inlineStr">
        <is>
          <t>3622669</t>
        </is>
      </c>
      <c r="C20" t="inlineStr">
        <is>
          <t>35</t>
        </is>
      </c>
      <c r="D20" t="inlineStr">
        <is>
          <t>pending_approval</t>
        </is>
      </c>
      <c r="E20" t="b">
        <v>1</v>
      </c>
      <c r="F20">
        <f>IMAGE("https://chmeetings.blob.core.windows.net/846969/attachments/uJkCrgqNzkSEZSsvBrzxzg/dd65d621-0f48-4d4b-bceb-4bdde79b8168.jpg")</f>
        <v/>
      </c>
      <c r="G20" t="inlineStr">
        <is>
          <t>Brittany</t>
        </is>
      </c>
      <c r="H20" t="inlineStr">
        <is>
          <t>Huynh</t>
        </is>
      </c>
      <c r="I20" t="inlineStr">
        <is>
          <t>Female</t>
        </is>
      </c>
      <c r="J20" t="n">
        <v>28</v>
      </c>
      <c r="K20" t="inlineStr">
        <is>
          <t>(818) 681-6010</t>
        </is>
      </c>
      <c r="L20" t="inlineStr">
        <is>
          <t>brittany.huynh08@gmail.com</t>
        </is>
      </c>
      <c r="M20" t="inlineStr">
        <is>
          <t>Volleyball</t>
        </is>
      </c>
      <c r="N20" t="inlineStr">
        <is>
          <t>Women</t>
        </is>
      </c>
      <c r="O20" t="inlineStr">
        <is>
          <t>Team</t>
        </is>
      </c>
      <c r="P20" t="inlineStr"/>
      <c r="Q20" t="inlineStr"/>
    </row>
    <row r="21">
      <c r="A21" t="inlineStr">
        <is>
          <t>GLA</t>
        </is>
      </c>
      <c r="B21" t="inlineStr">
        <is>
          <t>3625818</t>
        </is>
      </c>
      <c r="C21" t="inlineStr">
        <is>
          <t>92</t>
        </is>
      </c>
      <c r="D21" t="inlineStr">
        <is>
          <t>validated</t>
        </is>
      </c>
      <c r="E21" t="b">
        <v>1</v>
      </c>
      <c r="F21">
        <f>IMAGE("https://chmeetings.blob.core.windows.net/846969/attachments/OSCmy82Y7Ua7YlAvx7rpoA/a5c208c0-832a-4714-9b87-ba8388868c91.jpg")</f>
        <v/>
      </c>
      <c r="G21" t="inlineStr">
        <is>
          <t>Kristine</t>
        </is>
      </c>
      <c r="H21" t="inlineStr">
        <is>
          <t>Pham</t>
        </is>
      </c>
      <c r="I21" t="inlineStr">
        <is>
          <t>Female</t>
        </is>
      </c>
      <c r="J21" t="n">
        <v>26</v>
      </c>
      <c r="K21" t="inlineStr">
        <is>
          <t>(626) 940-7093</t>
        </is>
      </c>
      <c r="L21" t="inlineStr">
        <is>
          <t>Kristinephammy@gmail.com</t>
        </is>
      </c>
      <c r="M21" t="inlineStr">
        <is>
          <t>Volleyball</t>
        </is>
      </c>
      <c r="N21" t="inlineStr">
        <is>
          <t>Women</t>
        </is>
      </c>
      <c r="O21" t="inlineStr">
        <is>
          <t>Team</t>
        </is>
      </c>
      <c r="P21" t="inlineStr"/>
      <c r="Q21" t="inlineStr"/>
    </row>
    <row r="22">
      <c r="A22" t="inlineStr">
        <is>
          <t>GLA</t>
        </is>
      </c>
      <c r="B22" t="inlineStr">
        <is>
          <t>4361936</t>
        </is>
      </c>
      <c r="C22" t="inlineStr">
        <is>
          <t>37</t>
        </is>
      </c>
      <c r="D22" t="inlineStr">
        <is>
          <t>pending</t>
        </is>
      </c>
      <c r="E22" t="b">
        <v>1</v>
      </c>
      <c r="F22">
        <f>IMAGE("https://chmeetings.blob.core.windows.net/846969/attachments/MiQBuOnZk0eapDUpawDkNA/5295deb6-c6cd-4150-b7b5-d64dd70083b6.jpg")</f>
        <v/>
      </c>
      <c r="G22" t="inlineStr">
        <is>
          <t>Jolie</t>
        </is>
      </c>
      <c r="H22" t="inlineStr">
        <is>
          <t>Wang</t>
        </is>
      </c>
      <c r="I22" t="inlineStr">
        <is>
          <t>Female</t>
        </is>
      </c>
      <c r="J22" t="n">
        <v>15</v>
      </c>
      <c r="K22" t="inlineStr">
        <is>
          <t>(626) 560-8082</t>
        </is>
      </c>
      <c r="L22" t="inlineStr">
        <is>
          <t>joliewang12@gmail.com</t>
        </is>
      </c>
      <c r="M22" t="inlineStr">
        <is>
          <t>Volleyball</t>
        </is>
      </c>
      <c r="N22" t="inlineStr">
        <is>
          <t>Women</t>
        </is>
      </c>
      <c r="O22" t="inlineStr">
        <is>
          <t>Team</t>
        </is>
      </c>
      <c r="P22" t="inlineStr"/>
      <c r="Q22" t="inlineStr"/>
    </row>
  </sheetData>
  <autoFilter ref="A1:Q2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.5" customWidth="1" min="7" max="7"/>
    <col width="5" customWidth="1" min="8" max="8"/>
    <col width="9" customWidth="1" min="9" max="9"/>
    <col width="9" customWidth="1" min="10" max="10"/>
    <col width="11.5" customWidth="1" min="11" max="11"/>
    <col width="6.5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3626538</t>
        </is>
      </c>
      <c r="C2" t="inlineStr">
        <is>
          <t>93</t>
        </is>
      </c>
      <c r="D2" t="inlineStr">
        <is>
          <t>validated</t>
        </is>
      </c>
      <c r="E2" t="b">
        <v>0</v>
      </c>
      <c r="F2">
        <f>IMAGE("https://chmeetings.blob.core.windows.net/846969/attachments/q2lPenc10mkyifWDpteDw/d35966b3-7913-4313-ada9-9e3f70d94f15.jpg")</f>
        <v/>
      </c>
      <c r="G2" t="inlineStr">
        <is>
          <t>Ly Sophia</t>
        </is>
      </c>
      <c r="H2" t="inlineStr">
        <is>
          <t>Female</t>
        </is>
      </c>
      <c r="I2" t="n">
        <v>29</v>
      </c>
      <c r="J2" t="inlineStr">
        <is>
          <t>(626) 993-8265</t>
        </is>
      </c>
      <c r="K2" t="inlineStr">
        <is>
          <t>Nousesyly@gmail.com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Thien Lau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12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3570848</t>
        </is>
      </c>
      <c r="C2" t="inlineStr">
        <is>
          <t>90</t>
        </is>
      </c>
      <c r="D2" t="inlineStr">
        <is>
          <t>pending_approval</t>
        </is>
      </c>
      <c r="E2" t="b">
        <v>1</v>
      </c>
      <c r="F2">
        <f>IMAGE("https://chmeetings.blob.core.windows.net/846969/attachments/9nPE07rppUmkSggzO9ESg/47d06526-4fa5-4234-9c13-94ab1e6ca296.jpg")</f>
        <v/>
      </c>
      <c r="G2" t="inlineStr">
        <is>
          <t>Miciano Edwin Joshua</t>
        </is>
      </c>
      <c r="H2" t="inlineStr">
        <is>
          <t>Male</t>
        </is>
      </c>
      <c r="I2" t="n">
        <v>25</v>
      </c>
      <c r="J2" t="inlineStr">
        <is>
          <t>(818) 572-5802</t>
        </is>
      </c>
      <c r="K2" t="inlineStr">
        <is>
          <t>ejomiciano@gmail.com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3629598</t>
        </is>
      </c>
      <c r="C3" t="inlineStr">
        <is>
          <t>36</t>
        </is>
      </c>
      <c r="D3" t="inlineStr">
        <is>
          <t>pending_approval</t>
        </is>
      </c>
      <c r="E3" t="b">
        <v>1</v>
      </c>
      <c r="F3">
        <f>IMAGE("https://chmeetings.blob.core.windows.net/846969/attachments/BXJuEt43kmCzzwySYy0w/35a1da42-670c-46b3-a780-f0a182a01ab2.jpg")</f>
        <v/>
      </c>
      <c r="G3" t="inlineStr">
        <is>
          <t>Ngo Jason</t>
        </is>
      </c>
      <c r="H3" t="inlineStr">
        <is>
          <t>Male</t>
        </is>
      </c>
      <c r="I3" t="n">
        <v>18</v>
      </c>
      <c r="J3" t="inlineStr">
        <is>
          <t>(626) 382-9183</t>
        </is>
      </c>
      <c r="K3" t="inlineStr">
        <is>
          <t>ngojason99@gmail.com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9" customWidth="1" min="7" max="7"/>
    <col width="5" customWidth="1" min="8" max="8"/>
    <col width="9" customWidth="1" min="9" max="9"/>
    <col width="9" customWidth="1" min="10" max="10"/>
    <col width="15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3622669</t>
        </is>
      </c>
      <c r="C2" t="inlineStr">
        <is>
          <t>35</t>
        </is>
      </c>
      <c r="D2" t="inlineStr">
        <is>
          <t>pending_approval</t>
        </is>
      </c>
      <c r="E2" t="b">
        <v>1</v>
      </c>
      <c r="F2">
        <f>IMAGE("https://chmeetings.blob.core.windows.net/846969/attachments/uJkCrgqNzkSEZSsvBrzxzg/dd65d621-0f48-4d4b-bceb-4bdde79b8168.jpg")</f>
        <v/>
      </c>
      <c r="G2" t="inlineStr">
        <is>
          <t>Huynh Brittany</t>
        </is>
      </c>
      <c r="H2" t="inlineStr">
        <is>
          <t>Female</t>
        </is>
      </c>
      <c r="I2" t="n">
        <v>28</v>
      </c>
      <c r="J2" t="inlineStr">
        <is>
          <t>(818) 681-6010</t>
        </is>
      </c>
      <c r="K2" t="inlineStr">
        <is>
          <t>brittany.huynh08@gmail.com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3615916</t>
        </is>
      </c>
      <c r="C3" t="inlineStr">
        <is>
          <t>40</t>
        </is>
      </c>
      <c r="D3" t="inlineStr">
        <is>
          <t>pending_approval</t>
        </is>
      </c>
      <c r="E3" t="b">
        <v>1</v>
      </c>
      <c r="F3">
        <f>IMAGE("https://chmeetings.blob.core.windows.net/846969/attachments/kZ8EYhJrK02XqidXFTFjaA/a31be902-82b7-46d4-99d9-bcb4f0d9a080.jpg")</f>
        <v/>
      </c>
      <c r="G3" t="inlineStr">
        <is>
          <t>Mai Thu</t>
        </is>
      </c>
      <c r="H3" t="inlineStr">
        <is>
          <t>Male</t>
        </is>
      </c>
      <c r="I3" t="n">
        <v>30</v>
      </c>
      <c r="J3" t="inlineStr">
        <is>
          <t>(213) 550-6758</t>
        </is>
      </c>
      <c r="K3" t="inlineStr">
        <is>
          <t>Mai2twix@gmail.com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GLA</t>
        </is>
      </c>
      <c r="B4" t="inlineStr">
        <is>
          <t>3476631</t>
        </is>
      </c>
      <c r="C4" t="inlineStr">
        <is>
          <t>39</t>
        </is>
      </c>
      <c r="D4" t="inlineStr">
        <is>
          <t>validated</t>
        </is>
      </c>
      <c r="E4" t="b">
        <v>1</v>
      </c>
      <c r="F4">
        <f>IMAGE("https://chmeetings.blob.core.windows.net/846969/attachments/CakuT0nFcE6wgbtq4gPaVg/94bed426-bace-4116-89e1-37cf2dfbec3c.jpg")</f>
        <v/>
      </c>
      <c r="G4" t="inlineStr">
        <is>
          <t>Nguyen Rebecca</t>
        </is>
      </c>
      <c r="H4" t="inlineStr">
        <is>
          <t>Female</t>
        </is>
      </c>
      <c r="I4" t="n">
        <v>24</v>
      </c>
      <c r="J4" t="inlineStr">
        <is>
          <t>(818) 212-8589</t>
        </is>
      </c>
      <c r="K4" t="inlineStr">
        <is>
          <t>rebeccanguyen0621@gmail.com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5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5.5" customWidth="1" min="14" max="14"/>
    <col width="7" customWidth="1" min="15" max="15"/>
    <col width="8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3615944</t>
        </is>
      </c>
      <c r="C2" t="inlineStr">
        <is>
          <t>91</t>
        </is>
      </c>
      <c r="D2" t="inlineStr">
        <is>
          <t>validated</t>
        </is>
      </c>
      <c r="E2" t="b">
        <v>1</v>
      </c>
      <c r="F2">
        <f>IMAGE("https://chmeetings.blob.core.windows.net/846969/attachments/rYVJ4qoKkKAROIF7jl8aw/b8c5c502-e207-415e-860d-5ced9831efc8.jpg")</f>
        <v/>
      </c>
      <c r="G2" t="inlineStr">
        <is>
          <t>Pham Johnson</t>
        </is>
      </c>
      <c r="H2" t="inlineStr">
        <is>
          <t>Male</t>
        </is>
      </c>
      <c r="I2" t="n">
        <v>28</v>
      </c>
      <c r="J2" t="inlineStr">
        <is>
          <t>(626) 940-6989</t>
        </is>
      </c>
      <c r="K2" t="inlineStr">
        <is>
          <t>Johnson.hpham98@gmail.com</t>
        </is>
      </c>
      <c r="L2" t="inlineStr">
        <is>
          <t>Pickleball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3625818</t>
        </is>
      </c>
      <c r="C3" t="inlineStr">
        <is>
          <t>92</t>
        </is>
      </c>
      <c r="D3" t="inlineStr">
        <is>
          <t>validated</t>
        </is>
      </c>
      <c r="E3" t="b">
        <v>1</v>
      </c>
      <c r="F3">
        <f>IMAGE("https://chmeetings.blob.core.windows.net/846969/attachments/OSCmy82Y7Ua7YlAvx7rpoA/a5c208c0-832a-4714-9b87-ba8388868c91.jpg")</f>
        <v/>
      </c>
      <c r="G3" t="inlineStr">
        <is>
          <t>Pham Kristine</t>
        </is>
      </c>
      <c r="H3" t="inlineStr">
        <is>
          <t>Female</t>
        </is>
      </c>
      <c r="I3" t="n">
        <v>26</v>
      </c>
      <c r="J3" t="inlineStr">
        <is>
          <t>(626) 940-7093</t>
        </is>
      </c>
      <c r="K3" t="inlineStr">
        <is>
          <t>Kristinephammy@gmail.com</t>
        </is>
      </c>
      <c r="L3" t="inlineStr">
        <is>
          <t>Pickleball</t>
        </is>
      </c>
      <c r="M3" t="inlineStr">
        <is>
          <t>Women</t>
        </is>
      </c>
      <c r="N3" t="inlineStr">
        <is>
          <t>Doubles</t>
        </is>
      </c>
      <c r="O3" t="inlineStr"/>
      <c r="P3" t="inlineStr">
        <is>
          <t>Breanne huynh</t>
        </is>
      </c>
    </row>
  </sheetData>
  <autoFilter ref="A1:P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6" customWidth="1" min="11" max="11"/>
    <col width="8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3629646</t>
        </is>
      </c>
      <c r="C2" t="inlineStr">
        <is>
          <t>41</t>
        </is>
      </c>
      <c r="D2" t="inlineStr">
        <is>
          <t>pending</t>
        </is>
      </c>
      <c r="E2" t="b">
        <v>1</v>
      </c>
      <c r="F2">
        <f>IMAGE("https://chmeetings.blob.core.windows.net/846969/attachments/WfQk1w0b0O76DBIEeFaag/f6059547-2901-4815-b55d-66de1acd7f37.jpg")</f>
        <v/>
      </c>
      <c r="G2" t="inlineStr">
        <is>
          <t>Le Timothy</t>
        </is>
      </c>
      <c r="H2" t="inlineStr">
        <is>
          <t>Male</t>
        </is>
      </c>
      <c r="I2" t="n">
        <v>14</v>
      </c>
      <c r="J2" t="inlineStr">
        <is>
          <t>(747) 236-9493</t>
        </is>
      </c>
      <c r="K2" t="inlineStr">
        <is>
          <t>tle0168@mymail.lausd.net</t>
        </is>
      </c>
      <c r="L2" t="inlineStr">
        <is>
          <t>Table Tennis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  <row r="3">
      <c r="A3" t="inlineStr">
        <is>
          <t>GLA</t>
        </is>
      </c>
      <c r="B3" t="inlineStr">
        <is>
          <t>3615945</t>
        </is>
      </c>
      <c r="C3" t="inlineStr">
        <is>
          <t>38</t>
        </is>
      </c>
      <c r="D3" t="inlineStr">
        <is>
          <t>pending</t>
        </is>
      </c>
      <c r="E3" t="b">
        <v>1</v>
      </c>
      <c r="F3">
        <f>IMAGE("https://chmeetings.blob.core.windows.net/846969/attachments/m8ZIG9l0q0SQqgX5gZgIiw/bfdaebb3-efb9-4138-83ee-93fa773220cd.jpg")</f>
        <v/>
      </c>
      <c r="G3" t="inlineStr">
        <is>
          <t>Nguyen Noah</t>
        </is>
      </c>
      <c r="H3" t="inlineStr">
        <is>
          <t>Male</t>
        </is>
      </c>
      <c r="I3" t="n">
        <v>16</v>
      </c>
      <c r="J3" t="inlineStr">
        <is>
          <t>(818) 471-6453</t>
        </is>
      </c>
      <c r="K3" t="inlineStr">
        <is>
          <t>nnguyen0063@mymail.lausd.net</t>
        </is>
      </c>
      <c r="L3" t="inlineStr">
        <is>
          <t>Table Tennis</t>
        </is>
      </c>
      <c r="M3" t="inlineStr">
        <is>
          <t>Men</t>
        </is>
      </c>
      <c r="N3" t="inlineStr">
        <is>
          <t>Doubles</t>
        </is>
      </c>
      <c r="O3" t="inlineStr"/>
      <c r="P3" t="inlineStr">
        <is>
          <t>Jeff Dang</t>
        </is>
      </c>
    </row>
  </sheetData>
  <autoFilter ref="A1:P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12" customWidth="1" min="7" max="7"/>
    <col width="4" customWidth="1" min="8" max="8"/>
    <col width="9" customWidth="1" min="9" max="9"/>
    <col width="9" customWidth="1" min="10" max="10"/>
    <col width="12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3570848</t>
        </is>
      </c>
      <c r="C2" t="inlineStr">
        <is>
          <t>90</t>
        </is>
      </c>
      <c r="D2" t="inlineStr">
        <is>
          <t>pending_approval</t>
        </is>
      </c>
      <c r="E2" t="b">
        <v>1</v>
      </c>
      <c r="F2">
        <f>IMAGE("https://chmeetings.blob.core.windows.net/846969/attachments/9nPE07rppUmkSggzO9ESg/47d06526-4fa5-4234-9c13-94ab1e6ca296.jpg")</f>
        <v/>
      </c>
      <c r="G2" t="inlineStr">
        <is>
          <t>Miciano Edwin Joshua</t>
        </is>
      </c>
      <c r="H2" t="inlineStr">
        <is>
          <t>Male</t>
        </is>
      </c>
      <c r="I2" t="n">
        <v>25</v>
      </c>
      <c r="J2" t="inlineStr">
        <is>
          <t>(818) 572-5802</t>
        </is>
      </c>
      <c r="K2" t="inlineStr">
        <is>
          <t>ejomiciano@gmail.com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3629598</t>
        </is>
      </c>
      <c r="C3" t="inlineStr">
        <is>
          <t>36</t>
        </is>
      </c>
      <c r="D3" t="inlineStr">
        <is>
          <t>pending_approval</t>
        </is>
      </c>
      <c r="E3" t="b">
        <v>1</v>
      </c>
      <c r="F3">
        <f>IMAGE("https://chmeetings.blob.core.windows.net/846969/attachments/BXJuEt43kmCzzwySYy0w/35a1da42-670c-46b3-a780-f0a182a01ab2.jpg")</f>
        <v/>
      </c>
      <c r="G3" t="inlineStr">
        <is>
          <t>Ngo Jason</t>
        </is>
      </c>
      <c r="H3" t="inlineStr">
        <is>
          <t>Male</t>
        </is>
      </c>
      <c r="I3" t="n">
        <v>18</v>
      </c>
      <c r="J3" t="inlineStr">
        <is>
          <t>(626) 382-9183</t>
        </is>
      </c>
      <c r="K3" t="inlineStr">
        <is>
          <t>ngojason99@gmail.com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12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3570848</t>
        </is>
      </c>
      <c r="C2" t="inlineStr">
        <is>
          <t>90</t>
        </is>
      </c>
      <c r="D2" t="inlineStr">
        <is>
          <t>pending_approval</t>
        </is>
      </c>
      <c r="E2" t="b">
        <v>1</v>
      </c>
      <c r="F2">
        <f>IMAGE("https://chmeetings.blob.core.windows.net/846969/attachments/9nPE07rppUmkSggzO9ESg/47d06526-4fa5-4234-9c13-94ab1e6ca296.jpg")</f>
        <v/>
      </c>
      <c r="G2" t="inlineStr">
        <is>
          <t>Miciano Edwin Joshua</t>
        </is>
      </c>
      <c r="H2" t="inlineStr">
        <is>
          <t>Male</t>
        </is>
      </c>
      <c r="I2" t="n">
        <v>25</v>
      </c>
      <c r="J2" t="inlineStr">
        <is>
          <t>(818) 572-5802</t>
        </is>
      </c>
      <c r="K2" t="inlineStr">
        <is>
          <t>ejomiciano@gmail.com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3629646</t>
        </is>
      </c>
      <c r="C2" t="inlineStr">
        <is>
          <t>41</t>
        </is>
      </c>
      <c r="D2" t="inlineStr">
        <is>
          <t>pending</t>
        </is>
      </c>
      <c r="E2" t="b">
        <v>1</v>
      </c>
      <c r="F2">
        <f>IMAGE("https://chmeetings.blob.core.windows.net/846969/attachments/WfQk1w0b0O76DBIEeFaag/f6059547-2901-4815-b55d-66de1acd7f37.jpg")</f>
        <v/>
      </c>
      <c r="G2" t="inlineStr">
        <is>
          <t>Le Timothy</t>
        </is>
      </c>
      <c r="H2" t="inlineStr">
        <is>
          <t>Male</t>
        </is>
      </c>
      <c r="I2" t="n">
        <v>14</v>
      </c>
      <c r="J2" t="inlineStr">
        <is>
          <t>(747) 236-9493</t>
        </is>
      </c>
      <c r="K2" t="inlineStr">
        <is>
          <t>tle0168@mymail.lausd.net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3570848</t>
        </is>
      </c>
      <c r="C3" t="inlineStr">
        <is>
          <t>90</t>
        </is>
      </c>
      <c r="D3" t="inlineStr">
        <is>
          <t>pending_approval</t>
        </is>
      </c>
      <c r="E3" t="b">
        <v>1</v>
      </c>
      <c r="F3">
        <f>IMAGE("https://chmeetings.blob.core.windows.net/846969/attachments/9nPE07rppUmkSggzO9ESg/47d06526-4fa5-4234-9c13-94ab1e6ca296.jpg")</f>
        <v/>
      </c>
      <c r="G3" t="inlineStr">
        <is>
          <t>Miciano Edwin Joshua</t>
        </is>
      </c>
      <c r="H3" t="inlineStr">
        <is>
          <t>Male</t>
        </is>
      </c>
      <c r="I3" t="n">
        <v>25</v>
      </c>
      <c r="J3" t="inlineStr">
        <is>
          <t>(818) 572-5802</t>
        </is>
      </c>
      <c r="K3" t="inlineStr">
        <is>
          <t>ejomiciano@gmail.com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GLA</t>
        </is>
      </c>
      <c r="B4" t="inlineStr">
        <is>
          <t>3615945</t>
        </is>
      </c>
      <c r="C4" t="inlineStr">
        <is>
          <t>38</t>
        </is>
      </c>
      <c r="D4" t="inlineStr">
        <is>
          <t>pending</t>
        </is>
      </c>
      <c r="E4" t="b">
        <v>1</v>
      </c>
      <c r="F4">
        <f>IMAGE("https://chmeetings.blob.core.windows.net/846969/attachments/m8ZIG9l0q0SQqgX5gZgIiw/bfdaebb3-efb9-4138-83ee-93fa773220cd.jpg")</f>
        <v/>
      </c>
      <c r="G4" t="inlineStr">
        <is>
          <t>Nguyen Noah</t>
        </is>
      </c>
      <c r="H4" t="inlineStr">
        <is>
          <t>Male</t>
        </is>
      </c>
      <c r="I4" t="n">
        <v>16</v>
      </c>
      <c r="J4" t="inlineStr">
        <is>
          <t>(818) 471-6453</t>
        </is>
      </c>
      <c r="K4" t="inlineStr">
        <is>
          <t>nnguyen0063@mymail.lausd.net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GLA</t>
        </is>
      </c>
      <c r="B5" t="inlineStr">
        <is>
          <t>4361929</t>
        </is>
      </c>
      <c r="C5" t="inlineStr">
        <is>
          <t>42</t>
        </is>
      </c>
      <c r="D5" t="inlineStr">
        <is>
          <t>pending</t>
        </is>
      </c>
      <c r="E5" t="b">
        <v>1</v>
      </c>
      <c r="F5">
        <f>IMAGE("https://chmeetings.blob.core.windows.net/846969/attachments/ZHwVcAbhikGrvFy7cbAgOw/65c7c3f4-46ed-4da0-b2f4-61e31c920b9f.jpg")</f>
        <v/>
      </c>
      <c r="G5" t="inlineStr">
        <is>
          <t>Nong Wynson</t>
        </is>
      </c>
      <c r="H5" t="inlineStr">
        <is>
          <t>Male</t>
        </is>
      </c>
      <c r="I5" t="n">
        <v>14</v>
      </c>
      <c r="J5" t="inlineStr">
        <is>
          <t>(626) 975-1445</t>
        </is>
      </c>
      <c r="K5" t="inlineStr">
        <is>
          <t>Nongwynson@gmail.com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GLA</t>
        </is>
      </c>
      <c r="B6" t="inlineStr">
        <is>
          <t>3615944</t>
        </is>
      </c>
      <c r="C6" t="inlineStr">
        <is>
          <t>91</t>
        </is>
      </c>
      <c r="D6" t="inlineStr">
        <is>
          <t>validated</t>
        </is>
      </c>
      <c r="E6" t="b">
        <v>1</v>
      </c>
      <c r="F6">
        <f>IMAGE("https://chmeetings.blob.core.windows.net/846969/attachments/rYVJ4qoKkKAROIF7jl8aw/b8c5c502-e207-415e-860d-5ced9831efc8.jpg")</f>
        <v/>
      </c>
      <c r="G6" t="inlineStr">
        <is>
          <t>Pham Johnson</t>
        </is>
      </c>
      <c r="H6" t="inlineStr">
        <is>
          <t>Male</t>
        </is>
      </c>
      <c r="I6" t="n">
        <v>28</v>
      </c>
      <c r="J6" t="inlineStr">
        <is>
          <t>(626) 940-6989</t>
        </is>
      </c>
      <c r="K6" t="inlineStr">
        <is>
          <t>Johnson.hpham98@gmail.com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5.5" customWidth="1" min="4" max="4"/>
    <col width="8.5" customWidth="1" min="5" max="5"/>
    <col width="50" customWidth="1" min="6" max="6"/>
    <col width="7" customWidth="1" min="7" max="7"/>
    <col width="5" customWidth="1" min="8" max="8"/>
    <col width="9" customWidth="1" min="9" max="9"/>
    <col width="9" customWidth="1" min="10" max="10"/>
    <col width="12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GLA</t>
        </is>
      </c>
      <c r="B2" t="inlineStr">
        <is>
          <t>3622669</t>
        </is>
      </c>
      <c r="C2" t="inlineStr">
        <is>
          <t>35</t>
        </is>
      </c>
      <c r="D2" t="inlineStr">
        <is>
          <t>pending_approval</t>
        </is>
      </c>
      <c r="E2" t="b">
        <v>1</v>
      </c>
      <c r="F2">
        <f>IMAGE("https://chmeetings.blob.core.windows.net/846969/attachments/uJkCrgqNzkSEZSsvBrzxzg/dd65d621-0f48-4d4b-bceb-4bdde79b8168.jpg")</f>
        <v/>
      </c>
      <c r="G2" t="inlineStr">
        <is>
          <t>Huynh Brittany</t>
        </is>
      </c>
      <c r="H2" t="inlineStr">
        <is>
          <t>Female</t>
        </is>
      </c>
      <c r="I2" t="n">
        <v>28</v>
      </c>
      <c r="J2" t="inlineStr">
        <is>
          <t>(818) 681-6010</t>
        </is>
      </c>
      <c r="K2" t="inlineStr">
        <is>
          <t>brittany.huynh08@gmail.com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GLA</t>
        </is>
      </c>
      <c r="B3" t="inlineStr">
        <is>
          <t>3625818</t>
        </is>
      </c>
      <c r="C3" t="inlineStr">
        <is>
          <t>92</t>
        </is>
      </c>
      <c r="D3" t="inlineStr">
        <is>
          <t>validated</t>
        </is>
      </c>
      <c r="E3" t="b">
        <v>1</v>
      </c>
      <c r="F3">
        <f>IMAGE("https://chmeetings.blob.core.windows.net/846969/attachments/OSCmy82Y7Ua7YlAvx7rpoA/a5c208c0-832a-4714-9b87-ba8388868c91.jpg")</f>
        <v/>
      </c>
      <c r="G3" t="inlineStr">
        <is>
          <t>Pham Kristine</t>
        </is>
      </c>
      <c r="H3" t="inlineStr">
        <is>
          <t>Female</t>
        </is>
      </c>
      <c r="I3" t="n">
        <v>26</v>
      </c>
      <c r="J3" t="inlineStr">
        <is>
          <t>(626) 940-7093</t>
        </is>
      </c>
      <c r="K3" t="inlineStr">
        <is>
          <t>Kristinephammy@gmail.com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GLA</t>
        </is>
      </c>
      <c r="B4" t="inlineStr">
        <is>
          <t>4361936</t>
        </is>
      </c>
      <c r="C4" t="inlineStr">
        <is>
          <t>37</t>
        </is>
      </c>
      <c r="D4" t="inlineStr">
        <is>
          <t>pending</t>
        </is>
      </c>
      <c r="E4" t="b">
        <v>1</v>
      </c>
      <c r="F4">
        <f>IMAGE("https://chmeetings.blob.core.windows.net/846969/attachments/MiQBuOnZk0eapDUpawDkNA/5295deb6-c6cd-4150-b7b5-d64dd70083b6.jpg")</f>
        <v/>
      </c>
      <c r="G4" t="inlineStr">
        <is>
          <t>Wang Jolie</t>
        </is>
      </c>
      <c r="H4" t="inlineStr">
        <is>
          <t>Female</t>
        </is>
      </c>
      <c r="I4" t="n">
        <v>15</v>
      </c>
      <c r="J4" t="inlineStr">
        <is>
          <t>(626) 560-8082</t>
        </is>
      </c>
      <c r="K4" t="inlineStr">
        <is>
          <t>joliewang12@gmail.com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2026-05-04T14:05:27Z</dcterms:created>
  <dcterms:modified xmlns:dcterms="http://purl.org/dc/terms/" xmlns:xsi="http://www.w3.org/2001/XMLSchema-instance" xsi:type="dcterms:W3CDTF">2026-05-04T14:05:27Z</dcterms:modified>
</cp:coreProperties>
</file>