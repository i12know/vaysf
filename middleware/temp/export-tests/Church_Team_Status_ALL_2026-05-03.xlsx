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  <sheet xmlns:r="http://schemas.openxmlformats.org/officeDocument/2006/relationships" name="Badminton" sheetId="4" state="visible" r:id="rId4"/>
    <sheet xmlns:r="http://schemas.openxmlformats.org/officeDocument/2006/relationships" name="Basketball" sheetId="5" state="visible" r:id="rId5"/>
    <sheet xmlns:r="http://schemas.openxmlformats.org/officeDocument/2006/relationships" name="Soccer - Coed Exhibition" sheetId="6" state="visible" r:id="rId6"/>
    <sheet xmlns:r="http://schemas.openxmlformats.org/officeDocument/2006/relationships" name="Track  Field" sheetId="7" state="visible" r:id="rId7"/>
    <sheet xmlns:r="http://schemas.openxmlformats.org/officeDocument/2006/relationships" name="VB Men" sheetId="8" state="visible" r:id="rId8"/>
    <sheet xmlns:r="http://schemas.openxmlformats.org/officeDocument/2006/relationships" name="VB Women" sheetId="9" state="visible" r:id="rId9"/>
    <sheet xmlns:r="http://schemas.openxmlformats.org/officeDocument/2006/relationships" name="Pickleball" sheetId="10" state="visible" r:id="rId10"/>
    <sheet xmlns:r="http://schemas.openxmlformats.org/officeDocument/2006/relationships" name="Table Tennis" sheetId="11" state="visible" r:id="rId11"/>
    <sheet xmlns:r="http://schemas.openxmlformats.org/officeDocument/2006/relationships" name="Bible Challenge" sheetId="12" state="visible" r:id="rId12"/>
    <sheet xmlns:r="http://schemas.openxmlformats.org/officeDocument/2006/relationships" name="Pickleball 35" sheetId="13" state="visible" r:id="rId13"/>
    <sheet xmlns:r="http://schemas.openxmlformats.org/officeDocument/2006/relationships" name="Scripture Memorization" sheetId="14" state="visible" r:id="rId14"/>
    <sheet xmlns:r="http://schemas.openxmlformats.org/officeDocument/2006/relationships" name="Table Tennis 35" sheetId="15" state="visible" r:id="rId15"/>
    <sheet xmlns:r="http://schemas.openxmlformats.org/officeDocument/2006/relationships" name="Tug-of-war" sheetId="16" state="visible" r:id="rId16"/>
    <sheet xmlns:r="http://schemas.openxmlformats.org/officeDocument/2006/relationships" name="Tennis" sheetId="17" state="visible" r:id="rId17"/>
  </sheets>
  <definedNames>
    <definedName name="_xlnm._FilterDatabase" localSheetId="0" hidden="1">'Summary'!$A$1:$H$20</definedName>
    <definedName name="_xlnm._FilterDatabase" localSheetId="1" hidden="1">'Contacts-Status'!$A$1:$W$150</definedName>
    <definedName name="_xlnm._FilterDatabase" localSheetId="2" hidden="1">'Roster'!$A$1:$Q$251</definedName>
    <definedName name="_xlnm._FilterDatabase" localSheetId="3" hidden="1">'Badminton'!$A$1:$P$20</definedName>
    <definedName name="_xlnm._FilterDatabase" localSheetId="4" hidden="1">'Basketball'!$A$1:$P$34</definedName>
    <definedName name="_xlnm._FilterDatabase" localSheetId="5" hidden="1">'Soccer - Coed Exhibition'!$A$1:$P$16</definedName>
    <definedName name="_xlnm._FilterDatabase" localSheetId="6" hidden="1">'Track  Field'!$A$1:$P$27</definedName>
    <definedName name="_xlnm._FilterDatabase" localSheetId="7" hidden="1">'VB Men'!$A$1:$P$41</definedName>
    <definedName name="_xlnm._FilterDatabase" localSheetId="8" hidden="1">'VB Women'!$A$1:$P$33</definedName>
    <definedName name="_xlnm._FilterDatabase" localSheetId="9" hidden="1">'Pickleball'!$A$1:$P$13</definedName>
    <definedName name="_xlnm._FilterDatabase" localSheetId="10" hidden="1">'Table Tennis'!$A$1:$P$16</definedName>
    <definedName name="_xlnm._FilterDatabase" localSheetId="11" hidden="1">'Bible Challenge'!$A$1:$P$22</definedName>
    <definedName name="_xlnm._FilterDatabase" localSheetId="12" hidden="1">'Pickleball 35'!$A$1:$P$3</definedName>
    <definedName name="_xlnm._FilterDatabase" localSheetId="13" hidden="1">'Scripture Memorization'!$A$1:$P$6</definedName>
    <definedName name="_xlnm._FilterDatabase" localSheetId="14" hidden="1">'Table Tennis 35'!$A$1:$P$3</definedName>
    <definedName name="_xlnm._FilterDatabase" localSheetId="15" hidden="1">'Tug-of-war'!$A$1:$P$21</definedName>
    <definedName name="_xlnm._FilterDatabase" localSheetId="16" hidden="1">'Tennis'!$A$1:$P$9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Bumble</author>
  </authors>
  <commentList>
    <comment ref="F1" authorId="0" shapeId="0">
      <text>
        <t>In Office365 edition 2023 and later, you can remove the @ from the formula to display the image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1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ANH</t>
        </is>
      </c>
      <c r="B2" t="n">
        <v>2</v>
      </c>
      <c r="C2" t="n">
        <v>2</v>
      </c>
      <c r="D2" t="n">
        <v>0</v>
      </c>
      <c r="E2" t="n">
        <v>2</v>
      </c>
      <c r="F2" t="n">
        <v>0</v>
      </c>
      <c r="G2" t="n">
        <v>0</v>
      </c>
      <c r="H2" t="inlineStr">
        <is>
          <t>2026-05-03 22:00:39</t>
        </is>
      </c>
    </row>
    <row r="3">
      <c r="A3" t="inlineStr">
        <is>
          <t>FVC</t>
        </is>
      </c>
      <c r="B3" t="n">
        <v>13</v>
      </c>
      <c r="C3" t="n">
        <v>13</v>
      </c>
      <c r="D3" t="n">
        <v>0</v>
      </c>
      <c r="E3" t="n">
        <v>13</v>
      </c>
      <c r="F3" t="n">
        <v>0</v>
      </c>
      <c r="G3" t="n">
        <v>0</v>
      </c>
      <c r="H3" t="inlineStr">
        <is>
          <t>2026-05-03 22:02:41</t>
        </is>
      </c>
    </row>
    <row r="4">
      <c r="A4" t="inlineStr">
        <is>
          <t>GAC</t>
        </is>
      </c>
      <c r="B4" t="n">
        <v>32</v>
      </c>
      <c r="C4" t="n">
        <v>30</v>
      </c>
      <c r="D4" t="n">
        <v>0</v>
      </c>
      <c r="E4" t="n">
        <v>30</v>
      </c>
      <c r="F4" t="n">
        <v>0</v>
      </c>
      <c r="G4" t="n">
        <v>10</v>
      </c>
      <c r="H4" t="inlineStr">
        <is>
          <t>2026-05-03 22:04:01</t>
        </is>
      </c>
    </row>
    <row r="5">
      <c r="A5" t="inlineStr">
        <is>
          <t>GLA</t>
        </is>
      </c>
      <c r="B5" t="n">
        <v>12</v>
      </c>
      <c r="C5" t="n">
        <v>12</v>
      </c>
      <c r="D5" t="n">
        <v>0</v>
      </c>
      <c r="E5" t="n">
        <v>12</v>
      </c>
      <c r="F5" t="n">
        <v>0</v>
      </c>
      <c r="G5" t="n">
        <v>4</v>
      </c>
      <c r="H5" t="inlineStr">
        <is>
          <t>2026-05-03 22:04:15</t>
        </is>
      </c>
    </row>
    <row r="6">
      <c r="A6" t="inlineStr">
        <is>
          <t>LBC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inlineStr">
        <is>
          <t>2026-05-02 20:00:27</t>
        </is>
      </c>
    </row>
    <row r="7">
      <c r="A7" t="inlineStr">
        <is>
          <t>MWC</t>
        </is>
      </c>
      <c r="B7" t="n">
        <v>6</v>
      </c>
      <c r="C7" t="n">
        <v>6</v>
      </c>
      <c r="D7" t="n">
        <v>0</v>
      </c>
      <c r="E7" t="n">
        <v>6</v>
      </c>
      <c r="F7" t="n">
        <v>0</v>
      </c>
      <c r="G7" t="n">
        <v>1</v>
      </c>
      <c r="H7" t="inlineStr">
        <is>
          <t>2026-05-03 21:58:25</t>
        </is>
      </c>
    </row>
    <row r="8">
      <c r="A8" t="inlineStr">
        <is>
          <t>NHC</t>
        </is>
      </c>
      <c r="B8" t="n">
        <v>3</v>
      </c>
      <c r="C8" t="n">
        <v>3</v>
      </c>
      <c r="D8" t="n">
        <v>0</v>
      </c>
      <c r="E8" t="n">
        <v>3</v>
      </c>
      <c r="F8" t="n">
        <v>0</v>
      </c>
      <c r="G8" t="n">
        <v>0</v>
      </c>
      <c r="H8" t="inlineStr">
        <is>
          <t>2026-05-02 20:12:09</t>
        </is>
      </c>
    </row>
    <row r="9">
      <c r="A9" t="inlineStr">
        <is>
          <t>NSD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N/A</t>
        </is>
      </c>
    </row>
    <row r="10">
      <c r="A10" t="inlineStr">
        <is>
          <t>OCB</t>
        </is>
      </c>
      <c r="B10" t="n">
        <v>4</v>
      </c>
      <c r="C10" t="n">
        <v>4</v>
      </c>
      <c r="D10" t="n">
        <v>0</v>
      </c>
      <c r="E10" t="n">
        <v>4</v>
      </c>
      <c r="F10" t="n">
        <v>0</v>
      </c>
      <c r="G10" t="n">
        <v>0</v>
      </c>
      <c r="H10" t="inlineStr">
        <is>
          <t>2026-05-03 22:06:49</t>
        </is>
      </c>
    </row>
    <row r="11">
      <c r="A11" t="inlineStr">
        <is>
          <t>ORN</t>
        </is>
      </c>
      <c r="B11" t="n">
        <v>8</v>
      </c>
      <c r="C11" t="n">
        <v>8</v>
      </c>
      <c r="D11" t="n">
        <v>0</v>
      </c>
      <c r="E11" t="n">
        <v>8</v>
      </c>
      <c r="F11" t="n">
        <v>0</v>
      </c>
      <c r="G11" t="n">
        <v>0</v>
      </c>
      <c r="H11" t="inlineStr">
        <is>
          <t>2026-05-03 22:01:06</t>
        </is>
      </c>
    </row>
    <row r="12">
      <c r="A12" t="inlineStr">
        <is>
          <t>PCC</t>
        </is>
      </c>
      <c r="B12" t="n">
        <v>18</v>
      </c>
      <c r="C12" t="n">
        <v>10</v>
      </c>
      <c r="D12" t="n">
        <v>0</v>
      </c>
      <c r="E12" t="n">
        <v>10</v>
      </c>
      <c r="F12" t="n">
        <v>0</v>
      </c>
      <c r="G12" t="n">
        <v>4</v>
      </c>
      <c r="H12" t="inlineStr">
        <is>
          <t>2026-05-03 22:07:06</t>
        </is>
      </c>
    </row>
    <row r="13">
      <c r="A13" t="inlineStr">
        <is>
          <t>PHX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N/A</t>
        </is>
      </c>
    </row>
    <row r="14">
      <c r="A14" t="inlineStr">
        <is>
          <t>RPC</t>
        </is>
      </c>
      <c r="B14" t="n">
        <v>22</v>
      </c>
      <c r="C14" t="n">
        <v>20</v>
      </c>
      <c r="D14" t="n">
        <v>1</v>
      </c>
      <c r="E14" t="n">
        <v>19</v>
      </c>
      <c r="F14" t="n">
        <v>0</v>
      </c>
      <c r="G14" t="n">
        <v>10</v>
      </c>
      <c r="H14" t="inlineStr">
        <is>
          <t>2026-05-03 22:07:35</t>
        </is>
      </c>
    </row>
    <row r="15">
      <c r="A15" t="inlineStr">
        <is>
          <t>SDC</t>
        </is>
      </c>
      <c r="B15" t="n">
        <v>13</v>
      </c>
      <c r="C15" t="n">
        <v>13</v>
      </c>
      <c r="D15" t="n">
        <v>0</v>
      </c>
      <c r="E15" t="n">
        <v>13</v>
      </c>
      <c r="F15" t="n">
        <v>0</v>
      </c>
      <c r="G15" t="n">
        <v>2</v>
      </c>
      <c r="H15" t="inlineStr">
        <is>
          <t>2026-05-03 22:00:01</t>
        </is>
      </c>
    </row>
    <row r="16">
      <c r="A16" t="inlineStr">
        <is>
          <t>SFV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N/A</t>
        </is>
      </c>
    </row>
    <row r="17">
      <c r="A17" t="inlineStr">
        <is>
          <t>TLC</t>
        </is>
      </c>
      <c r="B17" t="n">
        <v>8</v>
      </c>
      <c r="C17" t="n">
        <v>8</v>
      </c>
      <c r="D17" t="n">
        <v>0</v>
      </c>
      <c r="E17" t="n">
        <v>8</v>
      </c>
      <c r="F17" t="n">
        <v>0</v>
      </c>
      <c r="G17" t="n">
        <v>1</v>
      </c>
      <c r="H17" t="inlineStr">
        <is>
          <t>2026-05-03 04:38:59</t>
        </is>
      </c>
    </row>
    <row r="18">
      <c r="A18" t="inlineStr">
        <is>
          <t>WAG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N/A</t>
        </is>
      </c>
    </row>
    <row r="19">
      <c r="A19" t="inlineStr">
        <is>
          <t>WCC</t>
        </is>
      </c>
      <c r="B19" t="n">
        <v>5</v>
      </c>
      <c r="C19" t="n">
        <v>5</v>
      </c>
      <c r="D19" t="n">
        <v>0</v>
      </c>
      <c r="E19" t="n">
        <v>5</v>
      </c>
      <c r="F19" t="n">
        <v>0</v>
      </c>
      <c r="G19" t="n">
        <v>1</v>
      </c>
      <c r="H19" t="inlineStr">
        <is>
          <t>2026-05-03 22:00:53</t>
        </is>
      </c>
    </row>
    <row r="20">
      <c r="A20" t="inlineStr">
        <is>
          <t>WSD</t>
        </is>
      </c>
      <c r="B20" t="n">
        <v>2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inlineStr">
        <is>
          <t>2026-05-03 21:53:53</t>
        </is>
      </c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50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4" customWidth="1" min="3" max="3"/>
    <col width="5" customWidth="1" min="4" max="4"/>
    <col width="9" customWidth="1" min="5" max="5"/>
    <col width="8.5" customWidth="1" min="6" max="6"/>
    <col width="11.5" customWidth="1" min="7" max="7"/>
    <col width="6.5" customWidth="1" min="8" max="8"/>
    <col width="13" customWidth="1" min="9" max="9"/>
    <col width="5" customWidth="1" min="10" max="10"/>
    <col width="7" customWidth="1" min="11" max="11"/>
    <col width="9" customWidth="1" min="12" max="12"/>
    <col width="9" customWidth="1" min="13" max="13"/>
    <col width="19" customWidth="1" min="14" max="14"/>
    <col width="23.5" customWidth="1" min="15" max="15"/>
    <col width="21" customWidth="1" min="16" max="16"/>
    <col width="22.5" customWidth="1" min="17" max="17"/>
    <col width="26.5" customWidth="1" min="18" max="18"/>
    <col width="21.5" customWidth="1" min="19" max="19"/>
    <col width="13.5" customWidth="1" min="20" max="20"/>
    <col width="10" customWidth="1" min="21" max="21"/>
    <col width="50" customWidth="1" min="22" max="22"/>
    <col width="11.5" customWidth="1" min="23" max="23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Is_Participant</t>
        </is>
      </c>
      <c r="F1" t="inlineStr">
        <is>
          <t>Is_Member_ChM</t>
        </is>
      </c>
      <c r="G1" t="inlineStr">
        <is>
          <t>Participant ID (WP)</t>
        </is>
      </c>
      <c r="H1" t="inlineStr">
        <is>
          <t>Approval_Status (WP)</t>
        </is>
      </c>
      <c r="I1" t="inlineStr">
        <is>
          <t>Total_Open_ERRORs (WP)</t>
        </is>
      </c>
      <c r="J1" t="inlineStr">
        <is>
          <t>Gender</t>
        </is>
      </c>
      <c r="K1" t="inlineStr">
        <is>
          <t>Birthdate</t>
        </is>
      </c>
      <c r="L1" t="inlineStr">
        <is>
          <t>Age (at Event)</t>
        </is>
      </c>
      <c r="M1" t="inlineStr">
        <is>
          <t>Mobile Phone</t>
        </is>
      </c>
      <c r="N1" t="inlineStr">
        <is>
          <t>Email</t>
        </is>
      </c>
      <c r="O1" t="inlineStr">
        <is>
          <t>First_Open_ERROR_Desc (WP)</t>
        </is>
      </c>
      <c r="P1" t="inlineStr">
        <is>
          <t>Box 1</t>
        </is>
      </c>
      <c r="Q1" t="inlineStr">
        <is>
          <t>Box 2</t>
        </is>
      </c>
      <c r="R1" t="inlineStr">
        <is>
          <t>Box 3</t>
        </is>
      </c>
      <c r="S1" t="inlineStr">
        <is>
          <t>Box 4</t>
        </is>
      </c>
      <c r="T1" t="inlineStr">
        <is>
          <t>Box 5</t>
        </is>
      </c>
      <c r="U1" t="inlineStr">
        <is>
          <t>Box 6</t>
        </is>
      </c>
      <c r="V1" t="inlineStr">
        <is>
          <t>Photo URL (WP)</t>
        </is>
      </c>
      <c r="W1" t="inlineStr">
        <is>
          <t>Update_on_ChM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Haniel</t>
        </is>
      </c>
      <c r="D2" t="inlineStr">
        <is>
          <t>Dang</t>
        </is>
      </c>
      <c r="E2" t="inlineStr">
        <is>
          <t>Yes</t>
        </is>
      </c>
      <c r="F2" t="inlineStr">
        <is>
          <t>Yes</t>
        </is>
      </c>
      <c r="G2" t="inlineStr">
        <is>
          <t>88</t>
        </is>
      </c>
      <c r="H2" t="inlineStr">
        <is>
          <t>validated</t>
        </is>
      </c>
      <c r="I2" t="n">
        <v>0</v>
      </c>
      <c r="J2" t="inlineStr">
        <is>
          <t>Male</t>
        </is>
      </c>
      <c r="K2" t="inlineStr">
        <is>
          <t>2002-11-02</t>
        </is>
      </c>
      <c r="L2" t="n">
        <v>23</v>
      </c>
      <c r="M2" t="inlineStr">
        <is>
          <t>(714) 757-3069</t>
        </is>
      </c>
      <c r="N2" t="inlineStr">
        <is>
          <t>lobsterboi3.hd@gmail.com</t>
        </is>
      </c>
      <c r="O2" t="inlineStr"/>
      <c r="P2" t="inlineStr"/>
      <c r="Q2" t="inlineStr"/>
      <c r="R2" t="inlineStr"/>
      <c r="S2" t="inlineStr"/>
      <c r="T2" t="inlineStr"/>
      <c r="U2" t="inlineStr"/>
      <c r="V2">
        <f>HYPERLINK("https://chmeetings.blob.core.windows.net/846969/attachments/STk7BLcuJEeK4Qn3rPRDdQ/d71fc857-c95a-4dee-91ac-81954f0a44d0.jpg", "https://chmeetings.blob.core.windows.net/846969/attachments/STk7BLcuJEeK4Qn3rPRDdQ/d71fc857-c95a-4dee-91ac-81954f0a44d0.jpg")</f>
        <v/>
      </c>
      <c r="W2" t="inlineStr">
        <is>
          <t>2026-05-03 22:00:28</t>
        </is>
      </c>
    </row>
    <row r="3">
      <c r="A3" t="inlineStr">
        <is>
          <t>ANH</t>
        </is>
      </c>
      <c r="B3" t="inlineStr">
        <is>
          <t>3739995</t>
        </is>
      </c>
      <c r="C3" t="inlineStr">
        <is>
          <t>Kaitlyn</t>
        </is>
      </c>
      <c r="D3" t="inlineStr">
        <is>
          <t>Duong</t>
        </is>
      </c>
      <c r="E3" t="inlineStr">
        <is>
          <t>Yes</t>
        </is>
      </c>
      <c r="F3" t="inlineStr">
        <is>
          <t>Yes</t>
        </is>
      </c>
      <c r="G3" t="inlineStr">
        <is>
          <t>89</t>
        </is>
      </c>
      <c r="H3" t="inlineStr">
        <is>
          <t>validated</t>
        </is>
      </c>
      <c r="I3" t="n">
        <v>0</v>
      </c>
      <c r="J3" t="inlineStr">
        <is>
          <t>Female</t>
        </is>
      </c>
      <c r="K3" t="inlineStr">
        <is>
          <t>2007-05-31</t>
        </is>
      </c>
      <c r="L3" t="n">
        <v>19</v>
      </c>
      <c r="M3" t="inlineStr">
        <is>
          <t>(714) 606-9350</t>
        </is>
      </c>
      <c r="N3" t="inlineStr">
        <is>
          <t>dnyltiak@gmail.com</t>
        </is>
      </c>
      <c r="O3" t="inlineStr"/>
      <c r="P3" t="inlineStr"/>
      <c r="Q3" t="inlineStr"/>
      <c r="R3" t="inlineStr"/>
      <c r="S3" t="inlineStr"/>
      <c r="T3" t="inlineStr"/>
      <c r="U3" t="inlineStr"/>
      <c r="V3">
        <f>HYPERLINK("https://chmeetings.blob.core.windows.net/846969/attachments/MUagp5MVh0uWHcOhTCv0A/9693d651-92b5-43b2-ab71-d35fb2a7981c.jpg", "https://chmeetings.blob.core.windows.net/846969/attachments/MUagp5MVh0uWHcOhTCv0A/9693d651-92b5-43b2-ab71-d35fb2a7981c.jpg")</f>
        <v/>
      </c>
      <c r="W3" t="inlineStr">
        <is>
          <t>2026-05-03 22:00:39</t>
        </is>
      </c>
    </row>
    <row r="4">
      <c r="A4" t="inlineStr">
        <is>
          <t>FVC</t>
        </is>
      </c>
      <c r="B4" t="inlineStr">
        <is>
          <t>3610876</t>
        </is>
      </c>
      <c r="C4" t="inlineStr">
        <is>
          <t>Christian</t>
        </is>
      </c>
      <c r="D4" t="inlineStr">
        <is>
          <t>Kadowaki</t>
        </is>
      </c>
      <c r="E4" t="inlineStr">
        <is>
          <t>Yes</t>
        </is>
      </c>
      <c r="F4" t="inlineStr">
        <is>
          <t>Yes</t>
        </is>
      </c>
      <c r="G4" t="inlineStr">
        <is>
          <t>63</t>
        </is>
      </c>
      <c r="H4" t="inlineStr">
        <is>
          <t>validated</t>
        </is>
      </c>
      <c r="I4" t="n">
        <v>0</v>
      </c>
      <c r="J4" t="inlineStr">
        <is>
          <t>Male</t>
        </is>
      </c>
      <c r="K4" t="inlineStr">
        <is>
          <t>2001-04-02</t>
        </is>
      </c>
      <c r="L4" t="n">
        <v>25</v>
      </c>
      <c r="M4" t="inlineStr">
        <is>
          <t>(714) 916-8835</t>
        </is>
      </c>
      <c r="N4" t="inlineStr">
        <is>
          <t>Christian.kadowaki@gmail.com</t>
        </is>
      </c>
      <c r="O4" t="inlineStr"/>
      <c r="P4" t="inlineStr"/>
      <c r="Q4" t="inlineStr"/>
      <c r="R4" t="inlineStr"/>
      <c r="S4" t="inlineStr"/>
      <c r="T4" t="inlineStr"/>
      <c r="U4" t="inlineStr"/>
      <c r="V4">
        <f>HYPERLINK("https://chmeetings.blob.core.windows.net/846969/attachments/n1Hofh79IUm5BWBzi2R7Q/8fe13634-0662-46ec-bdb6-4b8b957d6ee6.jpg", "https://chmeetings.blob.core.windows.net/846969/attachments/n1Hofh79IUm5BWBzi2R7Q/8fe13634-0662-46ec-bdb6-4b8b957d6ee6.jpg")</f>
        <v/>
      </c>
      <c r="W4" t="inlineStr">
        <is>
          <t>2026-05-02 19:58:37</t>
        </is>
      </c>
    </row>
    <row r="5">
      <c r="A5" t="inlineStr">
        <is>
          <t>FVC</t>
        </is>
      </c>
      <c r="B5" t="inlineStr">
        <is>
          <t>3627369</t>
        </is>
      </c>
      <c r="C5" t="inlineStr">
        <is>
          <t>Andrew</t>
        </is>
      </c>
      <c r="D5" t="inlineStr">
        <is>
          <t>Ly</t>
        </is>
      </c>
      <c r="E5" t="inlineStr">
        <is>
          <t>Yes</t>
        </is>
      </c>
      <c r="F5" t="inlineStr">
        <is>
          <t>Yes</t>
        </is>
      </c>
      <c r="G5" t="inlineStr">
        <is>
          <t>123</t>
        </is>
      </c>
      <c r="H5" t="inlineStr">
        <is>
          <t>validated</t>
        </is>
      </c>
      <c r="I5" t="n">
        <v>0</v>
      </c>
      <c r="J5" t="inlineStr">
        <is>
          <t>Male</t>
        </is>
      </c>
      <c r="K5" t="inlineStr">
        <is>
          <t>2003-12-26</t>
        </is>
      </c>
      <c r="L5" t="n">
        <v>22</v>
      </c>
      <c r="M5" t="inlineStr">
        <is>
          <t>(818) 818-2168</t>
        </is>
      </c>
      <c r="N5" t="inlineStr">
        <is>
          <t>andrewbenjily@gmail.com</t>
        </is>
      </c>
      <c r="O5" t="inlineStr"/>
      <c r="P5" t="inlineStr"/>
      <c r="Q5" t="inlineStr"/>
      <c r="R5" t="inlineStr"/>
      <c r="S5" t="inlineStr"/>
      <c r="T5" t="inlineStr"/>
      <c r="U5" t="inlineStr"/>
      <c r="V5">
        <f>HYPERLINK("https://chmeetings.blob.core.windows.net/846969/attachments/t481xJpLEm6DJ1S3KMOw/c689801f-da1e-4bd9-93e3-e81c0fd45646.jpg", "https://chmeetings.blob.core.windows.net/846969/attachments/t481xJpLEm6DJ1S3KMOw/c689801f-da1e-4bd9-93e3-e81c0fd45646.jpg")</f>
        <v/>
      </c>
      <c r="W5" t="inlineStr">
        <is>
          <t>2026-05-03 22:02:03</t>
        </is>
      </c>
    </row>
    <row r="6">
      <c r="A6" t="inlineStr">
        <is>
          <t>FVC</t>
        </is>
      </c>
      <c r="B6" t="inlineStr">
        <is>
          <t>3632512</t>
        </is>
      </c>
      <c r="C6" t="inlineStr">
        <is>
          <t>Benjamin</t>
        </is>
      </c>
      <c r="D6" t="inlineStr">
        <is>
          <t>Ly</t>
        </is>
      </c>
      <c r="E6" t="inlineStr">
        <is>
          <t>Yes</t>
        </is>
      </c>
      <c r="F6" t="inlineStr">
        <is>
          <t>Yes</t>
        </is>
      </c>
      <c r="G6" t="inlineStr">
        <is>
          <t>124</t>
        </is>
      </c>
      <c r="H6" t="inlineStr">
        <is>
          <t>validated</t>
        </is>
      </c>
      <c r="I6" t="n">
        <v>0</v>
      </c>
      <c r="J6" t="inlineStr">
        <is>
          <t>Male</t>
        </is>
      </c>
      <c r="K6" t="inlineStr">
        <is>
          <t>2006-11-23</t>
        </is>
      </c>
      <c r="L6" t="n">
        <v>19</v>
      </c>
      <c r="M6" t="inlineStr">
        <is>
          <t>(818) 818-0156</t>
        </is>
      </c>
      <c r="N6" t="inlineStr">
        <is>
          <t>benjaminandrewly@gmail.com</t>
        </is>
      </c>
      <c r="O6" t="inlineStr"/>
      <c r="P6" t="inlineStr"/>
      <c r="Q6" t="inlineStr"/>
      <c r="R6" t="inlineStr"/>
      <c r="S6" t="inlineStr"/>
      <c r="T6" t="inlineStr"/>
      <c r="U6" t="inlineStr"/>
      <c r="V6">
        <f>HYPERLINK("https://chmeetings.blob.core.windows.net/846969/attachments/GgPuAWUyd0CYczyLH9zVPA/3e25232f-7533-4819-8952-60c539b8dcfc.jpg", "https://chmeetings.blob.core.windows.net/846969/attachments/GgPuAWUyd0CYczyLH9zVPA/3e25232f-7533-4819-8952-60c539b8dcfc.jpg")</f>
        <v/>
      </c>
      <c r="W6" t="inlineStr">
        <is>
          <t>2026-05-03 22:02:23</t>
        </is>
      </c>
    </row>
    <row r="7">
      <c r="A7" t="inlineStr">
        <is>
          <t>FVC</t>
        </is>
      </c>
      <c r="B7" t="inlineStr">
        <is>
          <t>3623916</t>
        </is>
      </c>
      <c r="C7" t="inlineStr">
        <is>
          <t>Matthew</t>
        </is>
      </c>
      <c r="D7" t="inlineStr">
        <is>
          <t>Miyagishima</t>
        </is>
      </c>
      <c r="E7" t="inlineStr">
        <is>
          <t>Yes</t>
        </is>
      </c>
      <c r="F7" t="inlineStr">
        <is>
          <t>Yes</t>
        </is>
      </c>
      <c r="G7" t="inlineStr">
        <is>
          <t>66</t>
        </is>
      </c>
      <c r="H7" t="inlineStr">
        <is>
          <t>validated</t>
        </is>
      </c>
      <c r="I7" t="n">
        <v>0</v>
      </c>
      <c r="J7" t="inlineStr">
        <is>
          <t>Male</t>
        </is>
      </c>
      <c r="K7" t="inlineStr">
        <is>
          <t>1998-05-17</t>
        </is>
      </c>
      <c r="L7" t="n">
        <v>28</v>
      </c>
      <c r="M7" t="inlineStr">
        <is>
          <t>(714) 749-8210</t>
        </is>
      </c>
      <c r="N7" t="inlineStr">
        <is>
          <t>mmiyagishima16@gmail.com</t>
        </is>
      </c>
      <c r="O7" t="inlineStr"/>
      <c r="P7" t="inlineStr"/>
      <c r="Q7" t="inlineStr"/>
      <c r="R7" t="inlineStr"/>
      <c r="S7" t="inlineStr"/>
      <c r="T7" t="inlineStr"/>
      <c r="U7" t="inlineStr"/>
      <c r="V7">
        <f>HYPERLINK("https://chmeetings.blob.core.windows.net/846969/attachments/fYvFpOHviEe0wHVMPzacZw/6a6ff4b5-bd9f-4624-ada9-8744e2a5f857.jpg", "https://chmeetings.blob.core.windows.net/846969/attachments/fYvFpOHviEe0wHVMPzacZw/6a6ff4b5-bd9f-4624-ada9-8744e2a5f857.jpg")</f>
        <v/>
      </c>
      <c r="W7" t="inlineStr">
        <is>
          <t>2026-05-02 19:58:52</t>
        </is>
      </c>
    </row>
    <row r="8">
      <c r="A8" t="inlineStr">
        <is>
          <t>FVC</t>
        </is>
      </c>
      <c r="B8" t="inlineStr">
        <is>
          <t>3610914</t>
        </is>
      </c>
      <c r="C8" t="inlineStr">
        <is>
          <t>Isaiah</t>
        </is>
      </c>
      <c r="D8" t="inlineStr">
        <is>
          <t>Nguyen</t>
        </is>
      </c>
      <c r="E8" t="inlineStr">
        <is>
          <t>Yes</t>
        </is>
      </c>
      <c r="F8" t="inlineStr">
        <is>
          <t>Yes</t>
        </is>
      </c>
      <c r="G8" t="inlineStr">
        <is>
          <t>64</t>
        </is>
      </c>
      <c r="H8" t="inlineStr">
        <is>
          <t>validated</t>
        </is>
      </c>
      <c r="I8" t="n">
        <v>0</v>
      </c>
      <c r="J8" t="inlineStr">
        <is>
          <t>Male</t>
        </is>
      </c>
      <c r="K8" t="inlineStr">
        <is>
          <t>2003-06-06</t>
        </is>
      </c>
      <c r="L8" t="n">
        <v>23</v>
      </c>
      <c r="M8" t="inlineStr">
        <is>
          <t>(804) 549-2196</t>
        </is>
      </c>
      <c r="N8" t="inlineStr">
        <is>
          <t>Mylife2ezz@gmail.com</t>
        </is>
      </c>
      <c r="O8" t="inlineStr"/>
      <c r="P8" t="inlineStr"/>
      <c r="Q8" t="inlineStr"/>
      <c r="R8" t="inlineStr"/>
      <c r="S8" t="inlineStr"/>
      <c r="T8" t="inlineStr"/>
      <c r="U8" t="inlineStr"/>
      <c r="V8">
        <f>HYPERLINK("https://chmeetings.blob.core.windows.net/846969/attachments/lN4DcHc006cgfECjmFHA/ffef9c1f-80b5-4973-9c35-271cc20fcf5b.jpg", "https://chmeetings.blob.core.windows.net/846969/attachments/lN4DcHc006cgfECjmFHA/ffef9c1f-80b5-4973-9c35-271cc20fcf5b.jpg")</f>
        <v/>
      </c>
      <c r="W8" t="inlineStr">
        <is>
          <t>2026-05-02 20:11:34</t>
        </is>
      </c>
    </row>
    <row r="9">
      <c r="A9" t="inlineStr">
        <is>
          <t>FVC</t>
        </is>
      </c>
      <c r="B9" t="inlineStr">
        <is>
          <t>3624648</t>
        </is>
      </c>
      <c r="C9" t="inlineStr">
        <is>
          <t>Justin</t>
        </is>
      </c>
      <c r="D9" t="inlineStr">
        <is>
          <t>Nguyen</t>
        </is>
      </c>
      <c r="E9" t="inlineStr">
        <is>
          <t>Yes</t>
        </is>
      </c>
      <c r="F9" t="inlineStr">
        <is>
          <t>Yes</t>
        </is>
      </c>
      <c r="G9" t="inlineStr">
        <is>
          <t>127</t>
        </is>
      </c>
      <c r="H9" t="inlineStr">
        <is>
          <t>validated</t>
        </is>
      </c>
      <c r="I9" t="n">
        <v>0</v>
      </c>
      <c r="J9" t="inlineStr">
        <is>
          <t>Male</t>
        </is>
      </c>
      <c r="K9" t="inlineStr">
        <is>
          <t>2003-05-04</t>
        </is>
      </c>
      <c r="L9" t="n">
        <v>23</v>
      </c>
      <c r="M9" t="inlineStr">
        <is>
          <t>(951) 496-9385</t>
        </is>
      </c>
      <c r="N9" t="inlineStr">
        <is>
          <t>justinqnguyen3@gmail.com</t>
        </is>
      </c>
      <c r="O9" t="inlineStr"/>
      <c r="P9" t="inlineStr"/>
      <c r="Q9" t="inlineStr"/>
      <c r="R9" t="inlineStr"/>
      <c r="S9" t="inlineStr"/>
      <c r="T9" t="inlineStr"/>
      <c r="U9" t="inlineStr"/>
      <c r="V9">
        <f>HYPERLINK("https://chmeetings.blob.core.windows.net/846969/attachments/qj11d0mfBkIH30v4IwKQ/8cb9a967-e055-467f-a161-492dfc732b2c.jpg", "https://chmeetings.blob.core.windows.net/846969/attachments/qj11d0mfBkIH30v4IwKQ/8cb9a967-e055-467f-a161-492dfc732b2c.jpg")</f>
        <v/>
      </c>
      <c r="W9" t="inlineStr">
        <is>
          <t>2026-05-03 22:02:41</t>
        </is>
      </c>
    </row>
    <row r="10">
      <c r="A10" t="inlineStr">
        <is>
          <t>FVC</t>
        </is>
      </c>
      <c r="B10" t="inlineStr">
        <is>
          <t>3623917</t>
        </is>
      </c>
      <c r="C10" t="inlineStr">
        <is>
          <t>Kevin</t>
        </is>
      </c>
      <c r="D10" t="inlineStr">
        <is>
          <t>Nguyen</t>
        </is>
      </c>
      <c r="E10" t="inlineStr">
        <is>
          <t>Yes</t>
        </is>
      </c>
      <c r="F10" t="inlineStr">
        <is>
          <t>Yes</t>
        </is>
      </c>
      <c r="G10" t="inlineStr">
        <is>
          <t>65</t>
        </is>
      </c>
      <c r="H10" t="inlineStr">
        <is>
          <t>validated</t>
        </is>
      </c>
      <c r="I10" t="n">
        <v>0</v>
      </c>
      <c r="J10" t="inlineStr">
        <is>
          <t>Male</t>
        </is>
      </c>
      <c r="K10" t="inlineStr">
        <is>
          <t>2001-04-15</t>
        </is>
      </c>
      <c r="L10" t="n">
        <v>25</v>
      </c>
      <c r="M10" t="inlineStr">
        <is>
          <t>(657) 259-7371</t>
        </is>
      </c>
      <c r="N10" t="inlineStr">
        <is>
          <t>kevinvnguyen15@gmail.com</t>
        </is>
      </c>
      <c r="O10" t="inlineStr"/>
      <c r="P10" t="inlineStr"/>
      <c r="Q10" t="inlineStr"/>
      <c r="R10" t="inlineStr"/>
      <c r="S10" t="inlineStr"/>
      <c r="T10" t="inlineStr"/>
      <c r="U10" t="inlineStr"/>
      <c r="V10">
        <f>HYPERLINK("https://chmeetings.blob.core.windows.net/846969/attachments/RsVvSMjIZEOg4jtrF5I5gg/708cb162-46ad-468f-b540-1209616245c2.jpg", "https://chmeetings.blob.core.windows.net/846969/attachments/RsVvSMjIZEOg4jtrF5I5gg/708cb162-46ad-468f-b540-1209616245c2.jpg")</f>
        <v/>
      </c>
      <c r="W10" t="inlineStr">
        <is>
          <t>2026-05-02 19:59:20</t>
        </is>
      </c>
    </row>
    <row r="11">
      <c r="A11" t="inlineStr">
        <is>
          <t>FVC</t>
        </is>
      </c>
      <c r="B11" t="inlineStr">
        <is>
          <t>3623920</t>
        </is>
      </c>
      <c r="C11" t="inlineStr">
        <is>
          <t>Austin</t>
        </is>
      </c>
      <c r="D11" t="inlineStr">
        <is>
          <t>Ninh</t>
        </is>
      </c>
      <c r="E11" t="inlineStr">
        <is>
          <t>Yes</t>
        </is>
      </c>
      <c r="F11" t="inlineStr">
        <is>
          <t>No</t>
        </is>
      </c>
      <c r="G11" t="inlineStr">
        <is>
          <t>61</t>
        </is>
      </c>
      <c r="H11" t="inlineStr">
        <is>
          <t>validated</t>
        </is>
      </c>
      <c r="I11" t="n">
        <v>0</v>
      </c>
      <c r="J11" t="inlineStr">
        <is>
          <t>Male</t>
        </is>
      </c>
      <c r="K11" t="inlineStr">
        <is>
          <t>2002-12-30</t>
        </is>
      </c>
      <c r="L11" t="n">
        <v>23</v>
      </c>
      <c r="M11" t="inlineStr">
        <is>
          <t>(714) 804-2815</t>
        </is>
      </c>
      <c r="N11" t="inlineStr">
        <is>
          <t>austin92841@gmail.com</t>
        </is>
      </c>
      <c r="O11" t="inlineStr"/>
      <c r="P11" t="inlineStr"/>
      <c r="Q11" t="inlineStr"/>
      <c r="R11" t="inlineStr"/>
      <c r="S11" t="inlineStr"/>
      <c r="T11" t="inlineStr"/>
      <c r="U11" t="inlineStr"/>
      <c r="V11">
        <f>HYPERLINK("https://chmeetings.blob.core.windows.net/846969/attachments/M6A5b0NLrkOaM0d7HnpXzg/da62a76a-746b-41fc-a40a-dd4fcbe3e398.jpg", "https://chmeetings.blob.core.windows.net/846969/attachments/M6A5b0NLrkOaM0d7HnpXzg/da62a76a-746b-41fc-a40a-dd4fcbe3e398.jpg")</f>
        <v/>
      </c>
      <c r="W11" t="inlineStr">
        <is>
          <t>2026-05-02 19:58:16</t>
        </is>
      </c>
    </row>
    <row r="12">
      <c r="A12" t="inlineStr">
        <is>
          <t>FVC</t>
        </is>
      </c>
      <c r="B12" t="inlineStr">
        <is>
          <t>3631513</t>
        </is>
      </c>
      <c r="C12" t="inlineStr">
        <is>
          <t>Brianna</t>
        </is>
      </c>
      <c r="D12" t="inlineStr">
        <is>
          <t>Pham</t>
        </is>
      </c>
      <c r="E12" t="inlineStr">
        <is>
          <t>Yes</t>
        </is>
      </c>
      <c r="F12" t="inlineStr">
        <is>
          <t>Yes</t>
        </is>
      </c>
      <c r="G12" t="inlineStr">
        <is>
          <t>125</t>
        </is>
      </c>
      <c r="H12" t="inlineStr">
        <is>
          <t>validated</t>
        </is>
      </c>
      <c r="I12" t="n">
        <v>0</v>
      </c>
      <c r="J12" t="inlineStr">
        <is>
          <t>Female</t>
        </is>
      </c>
      <c r="K12" t="inlineStr">
        <is>
          <t>2000-03-24</t>
        </is>
      </c>
      <c r="L12" t="n">
        <v>26</v>
      </c>
      <c r="M12" t="inlineStr">
        <is>
          <t>(714) 622-9590</t>
        </is>
      </c>
      <c r="N12" t="inlineStr">
        <is>
          <t>briannajpham@gmail.com</t>
        </is>
      </c>
      <c r="O12" t="inlineStr"/>
      <c r="P12" t="inlineStr"/>
      <c r="Q12" t="inlineStr"/>
      <c r="R12" t="inlineStr"/>
      <c r="S12" t="inlineStr"/>
      <c r="T12" t="inlineStr"/>
      <c r="U12" t="inlineStr"/>
      <c r="V12">
        <f>HYPERLINK("https://chmeetings.blob.core.windows.net/846969/attachments/LctiwClonEOGNeDDzhDfLQ/1737a3f3-5776-4b28-84cd-1539661ebad3.jpg", "https://chmeetings.blob.core.windows.net/846969/attachments/LctiwClonEOGNeDDzhDfLQ/1737a3f3-5776-4b28-84cd-1539661ebad3.jpg")</f>
        <v/>
      </c>
      <c r="W12" t="inlineStr">
        <is>
          <t>2026-05-03 22:02:32</t>
        </is>
      </c>
    </row>
    <row r="13">
      <c r="A13" t="inlineStr">
        <is>
          <t>FVC</t>
        </is>
      </c>
      <c r="B13" t="inlineStr">
        <is>
          <t>3631514</t>
        </is>
      </c>
      <c r="C13" t="inlineStr">
        <is>
          <t>Evan</t>
        </is>
      </c>
      <c r="D13" t="inlineStr">
        <is>
          <t>Pham</t>
        </is>
      </c>
      <c r="E13" t="inlineStr">
        <is>
          <t>Yes</t>
        </is>
      </c>
      <c r="F13" t="inlineStr">
        <is>
          <t>Yes</t>
        </is>
      </c>
      <c r="G13" t="inlineStr">
        <is>
          <t>126</t>
        </is>
      </c>
      <c r="H13" t="inlineStr">
        <is>
          <t>validated</t>
        </is>
      </c>
      <c r="I13" t="n">
        <v>0</v>
      </c>
      <c r="J13" t="inlineStr">
        <is>
          <t>Male</t>
        </is>
      </c>
      <c r="K13" t="inlineStr">
        <is>
          <t>2006-10-05</t>
        </is>
      </c>
      <c r="L13" t="n">
        <v>19</v>
      </c>
      <c r="M13" t="inlineStr">
        <is>
          <t>(714) 657-5917</t>
        </is>
      </c>
      <c r="N13" t="inlineStr">
        <is>
          <t>evanjpham@gmail.com</t>
        </is>
      </c>
      <c r="O13" t="inlineStr"/>
      <c r="P13" t="inlineStr"/>
      <c r="Q13" t="inlineStr"/>
      <c r="R13" t="inlineStr"/>
      <c r="S13" t="inlineStr"/>
      <c r="T13" t="inlineStr"/>
      <c r="U13" t="inlineStr"/>
      <c r="V13">
        <f>HYPERLINK("https://chmeetings.blob.core.windows.net/846969/attachments/HXcI779CL0aJOqFhGcSWLA/23e4d46f-117e-46f1-82af-bf51c169d43b.jpg", "https://chmeetings.blob.core.windows.net/846969/attachments/HXcI779CL0aJOqFhGcSWLA/23e4d46f-117e-46f1-82af-bf51c169d43b.jpg")</f>
        <v/>
      </c>
      <c r="W13" t="inlineStr">
        <is>
          <t>2026-05-03 22:02:14</t>
        </is>
      </c>
    </row>
    <row r="14">
      <c r="A14" t="inlineStr">
        <is>
          <t>FVC</t>
        </is>
      </c>
      <c r="B14" t="inlineStr">
        <is>
          <t>3631886</t>
        </is>
      </c>
      <c r="C14" t="inlineStr">
        <is>
          <t>Theresa</t>
        </is>
      </c>
      <c r="D14" t="inlineStr">
        <is>
          <t>Tran</t>
        </is>
      </c>
      <c r="E14" t="inlineStr">
        <is>
          <t>Yes</t>
        </is>
      </c>
      <c r="F14" t="inlineStr">
        <is>
          <t>Yes</t>
        </is>
      </c>
      <c r="G14" t="inlineStr">
        <is>
          <t>68</t>
        </is>
      </c>
      <c r="H14" t="inlineStr">
        <is>
          <t>validated</t>
        </is>
      </c>
      <c r="I14" t="n">
        <v>0</v>
      </c>
      <c r="J14" t="inlineStr">
        <is>
          <t>Female</t>
        </is>
      </c>
      <c r="K14" t="inlineStr">
        <is>
          <t>1995-05-31</t>
        </is>
      </c>
      <c r="L14" t="n">
        <v>31</v>
      </c>
      <c r="M14" t="inlineStr">
        <is>
          <t>(714) 386-8878</t>
        </is>
      </c>
      <c r="N14" t="inlineStr">
        <is>
          <t>choochootrann@csu.fullerton.edu</t>
        </is>
      </c>
      <c r="O14" t="inlineStr"/>
      <c r="P14" t="inlineStr"/>
      <c r="Q14" t="inlineStr"/>
      <c r="R14" t="inlineStr"/>
      <c r="S14" t="inlineStr"/>
      <c r="T14" t="inlineStr"/>
      <c r="U14" t="inlineStr"/>
      <c r="V14">
        <f>HYPERLINK("https://chmeetings.blob.core.windows.net/846969/attachments/DkJl6YJH8U2PP1rKWS5Uw/061b8791-e127-4834-bc55-a904d4dd79a2.jpg", "https://chmeetings.blob.core.windows.net/846969/attachments/DkJl6YJH8U2PP1rKWS5Uw/061b8791-e127-4834-bc55-a904d4dd79a2.jpg")</f>
        <v/>
      </c>
      <c r="W14" t="inlineStr">
        <is>
          <t>2026-05-02 19:59:34</t>
        </is>
      </c>
    </row>
    <row r="15">
      <c r="A15" t="inlineStr">
        <is>
          <t>FVC</t>
        </is>
      </c>
      <c r="B15" t="inlineStr">
        <is>
          <t>3635284</t>
        </is>
      </c>
      <c r="C15" t="inlineStr">
        <is>
          <t>Boi Boi</t>
        </is>
      </c>
      <c r="D15" t="inlineStr">
        <is>
          <t>Vo</t>
        </is>
      </c>
      <c r="E15" t="inlineStr">
        <is>
          <t>Yes</t>
        </is>
      </c>
      <c r="F15" t="inlineStr">
        <is>
          <t>Yes</t>
        </is>
      </c>
      <c r="G15" t="inlineStr">
        <is>
          <t>62</t>
        </is>
      </c>
      <c r="H15" t="inlineStr">
        <is>
          <t>validated</t>
        </is>
      </c>
      <c r="I15" t="n">
        <v>0</v>
      </c>
      <c r="J15" t="inlineStr">
        <is>
          <t>Male</t>
        </is>
      </c>
      <c r="K15" t="inlineStr">
        <is>
          <t>2007-07-10</t>
        </is>
      </c>
      <c r="L15" t="n">
        <v>19</v>
      </c>
      <c r="M15" t="inlineStr">
        <is>
          <t>(657) 340-9539</t>
        </is>
      </c>
      <c r="N15" t="inlineStr">
        <is>
          <t>Boiiboivo@gmail.com</t>
        </is>
      </c>
      <c r="O15" t="inlineStr"/>
      <c r="P15" t="inlineStr"/>
      <c r="Q15" t="inlineStr"/>
      <c r="R15" t="inlineStr"/>
      <c r="S15" t="inlineStr"/>
      <c r="T15" t="inlineStr"/>
      <c r="U15" t="inlineStr"/>
      <c r="V15">
        <f>HYPERLINK("https://chmeetings.blob.core.windows.net/846969/attachments/LFoY7ApFX0iK7b8bAJ9IQ/5c24585e-77d3-4091-92bd-281bb4879e90.jpg", "https://chmeetings.blob.core.windows.net/846969/attachments/LFoY7ApFX0iK7b8bAJ9IQ/5c24585e-77d3-4091-92bd-281bb4879e90.jpg")</f>
        <v/>
      </c>
      <c r="W15" t="inlineStr">
        <is>
          <t>2026-05-02 19:57:54</t>
        </is>
      </c>
    </row>
    <row r="16">
      <c r="A16" t="inlineStr">
        <is>
          <t>FVC</t>
        </is>
      </c>
      <c r="B16" t="inlineStr">
        <is>
          <t>4361935</t>
        </is>
      </c>
      <c r="C16" t="inlineStr">
        <is>
          <t>Stephy</t>
        </is>
      </c>
      <c r="D16" t="inlineStr">
        <is>
          <t>Wang</t>
        </is>
      </c>
      <c r="E16" t="inlineStr">
        <is>
          <t>Yes</t>
        </is>
      </c>
      <c r="F16" t="inlineStr">
        <is>
          <t>No</t>
        </is>
      </c>
      <c r="G16" t="inlineStr">
        <is>
          <t>67</t>
        </is>
      </c>
      <c r="H16" t="inlineStr">
        <is>
          <t>validated</t>
        </is>
      </c>
      <c r="I16" t="n">
        <v>0</v>
      </c>
      <c r="J16" t="inlineStr">
        <is>
          <t>Female</t>
        </is>
      </c>
      <c r="K16" t="inlineStr">
        <is>
          <t>2001-11-07</t>
        </is>
      </c>
      <c r="L16" t="n">
        <v>24</v>
      </c>
      <c r="M16" t="inlineStr">
        <is>
          <t>(626) 497-4697</t>
        </is>
      </c>
      <c r="N16" t="inlineStr">
        <is>
          <t>Stephy12304@gmail.com</t>
        </is>
      </c>
      <c r="O16" t="inlineStr"/>
      <c r="P16" t="inlineStr"/>
      <c r="Q16" t="inlineStr"/>
      <c r="R16" t="inlineStr"/>
      <c r="S16" t="inlineStr"/>
      <c r="T16" t="inlineStr"/>
      <c r="U16" t="inlineStr"/>
      <c r="V16">
        <f>HYPERLINK("https://chmeetings.blob.core.windows.net/846969/attachments/R67AObtP0qrOKz5JMVug/8581a3f9-95f3-4d53-845b-829780445710.jpg", "https://chmeetings.blob.core.windows.net/846969/attachments/R67AObtP0qrOKz5JMVug/8581a3f9-95f3-4d53-845b-829780445710.jpg")</f>
        <v/>
      </c>
      <c r="W16" t="inlineStr">
        <is>
          <t>2026-05-02 19:51:59</t>
        </is>
      </c>
    </row>
    <row r="17">
      <c r="A17" t="inlineStr">
        <is>
          <t>GAC</t>
        </is>
      </c>
      <c r="B17" t="inlineStr">
        <is>
          <t>4361937</t>
        </is>
      </c>
      <c r="C17" t="inlineStr">
        <is>
          <t>Isaiah</t>
        </is>
      </c>
      <c r="D17" t="inlineStr">
        <is>
          <t>Nguyen</t>
        </is>
      </c>
      <c r="E17" t="inlineStr">
        <is>
          <t>Yes</t>
        </is>
      </c>
      <c r="F17" t="inlineStr">
        <is>
          <t>Yes</t>
        </is>
      </c>
      <c r="G17" t="inlineStr">
        <is>
          <t>52</t>
        </is>
      </c>
      <c r="H17" t="inlineStr">
        <is>
          <t>pending</t>
        </is>
      </c>
      <c r="I17" t="n">
        <v>2</v>
      </c>
      <c r="J17" t="inlineStr">
        <is>
          <t>Male</t>
        </is>
      </c>
      <c r="K17" t="inlineStr">
        <is>
          <t>2013-10-22</t>
        </is>
      </c>
      <c r="L17" t="n">
        <v>12</v>
      </c>
      <c r="M17" t="inlineStr">
        <is>
          <t>(408) 772-9825</t>
        </is>
      </c>
      <c r="N17" t="inlineStr">
        <is>
          <t>Phuongluu22@yahoo.com</t>
        </is>
      </c>
      <c r="O17" t="inlineStr">
        <is>
          <t>Age 12 is below minimum age 13 for Volleyball</t>
        </is>
      </c>
      <c r="P17" t="inlineStr"/>
      <c r="Q17" t="inlineStr"/>
      <c r="R17" t="inlineStr"/>
      <c r="S17" t="inlineStr"/>
      <c r="T17" t="inlineStr"/>
      <c r="U17" t="inlineStr"/>
      <c r="V17">
        <f>HYPERLINK("https://chmeetings.blob.core.windows.net/846969/attachments/5Nf9EulpAEWOHqW7O8qfHw/1fee0c8c-28e9-4436-82ae-c417b47471af.jpg", "https://chmeetings.blob.core.windows.net/846969/attachments/5Nf9EulpAEWOHqW7O8qfHw/1fee0c8c-28e9-4436-82ae-c417b47471af.jpg")</f>
        <v/>
      </c>
      <c r="W17" t="inlineStr">
        <is>
          <t>2026-05-02 19:54:35</t>
        </is>
      </c>
    </row>
    <row r="18">
      <c r="A18" t="inlineStr">
        <is>
          <t>GAC</t>
        </is>
      </c>
      <c r="B18" t="inlineStr">
        <is>
          <t>4361952</t>
        </is>
      </c>
      <c r="C18" t="inlineStr">
        <is>
          <t>Michael</t>
        </is>
      </c>
      <c r="D18" t="inlineStr">
        <is>
          <t>Cisneros</t>
        </is>
      </c>
      <c r="E18" t="inlineStr">
        <is>
          <t>Yes</t>
        </is>
      </c>
      <c r="F18" t="inlineStr">
        <is>
          <t>Yes</t>
        </is>
      </c>
      <c r="G18" t="inlineStr">
        <is>
          <t>57</t>
        </is>
      </c>
      <c r="H18" t="inlineStr">
        <is>
          <t>pending</t>
        </is>
      </c>
      <c r="I18" t="n">
        <v>1</v>
      </c>
      <c r="J18" t="inlineStr">
        <is>
          <t>Male</t>
        </is>
      </c>
      <c r="K18" t="inlineStr">
        <is>
          <t>2009-09-12</t>
        </is>
      </c>
      <c r="L18" t="n">
        <v>16</v>
      </c>
      <c r="M18" t="inlineStr">
        <is>
          <t>(925) 826-9988</t>
        </is>
      </c>
      <c r="N18" t="inlineStr">
        <is>
          <t>michael.cisneros03@icloud.com</t>
        </is>
      </c>
      <c r="O18" t="inlineStr">
        <is>
          <t>Consent form status unknown or not provided</t>
        </is>
      </c>
      <c r="P18" t="inlineStr"/>
      <c r="Q18" t="inlineStr"/>
      <c r="R18" t="inlineStr"/>
      <c r="S18" t="inlineStr"/>
      <c r="T18" t="inlineStr"/>
      <c r="U18" t="inlineStr"/>
      <c r="V18">
        <f>HYPERLINK("https://chmeetings.blob.core.windows.net/846969/attachments/Hjxi9RYULUCBzV5lFGI92Q/b0ae99dc-29e8-4902-8dad-c2ffe54bf1b2.jpg", "https://chmeetings.blob.core.windows.net/846969/attachments/Hjxi9RYULUCBzV5lFGI92Q/b0ae99dc-29e8-4902-8dad-c2ffe54bf1b2.jpg")</f>
        <v/>
      </c>
      <c r="W18" t="inlineStr">
        <is>
          <t>2026-05-02 20:16:27</t>
        </is>
      </c>
    </row>
    <row r="19">
      <c r="A19" t="inlineStr">
        <is>
          <t>GAC</t>
        </is>
      </c>
      <c r="B19" t="inlineStr">
        <is>
          <t>3639279</t>
        </is>
      </c>
      <c r="C19" t="inlineStr">
        <is>
          <t>Gavrielle</t>
        </is>
      </c>
      <c r="D19" t="inlineStr">
        <is>
          <t>Ha</t>
        </is>
      </c>
      <c r="E19" t="inlineStr">
        <is>
          <t>Yes</t>
        </is>
      </c>
      <c r="F19" t="inlineStr">
        <is>
          <t>Yes</t>
        </is>
      </c>
      <c r="G19" t="inlineStr">
        <is>
          <t>51</t>
        </is>
      </c>
      <c r="H19" t="inlineStr">
        <is>
          <t>pending</t>
        </is>
      </c>
      <c r="I19" t="n">
        <v>1</v>
      </c>
      <c r="J19" t="inlineStr">
        <is>
          <t>Female</t>
        </is>
      </c>
      <c r="K19" t="inlineStr">
        <is>
          <t>2013-03-18</t>
        </is>
      </c>
      <c r="L19" t="n">
        <v>13</v>
      </c>
      <c r="M19" t="inlineStr">
        <is>
          <t>(408) 332-1859</t>
        </is>
      </c>
      <c r="N19" t="inlineStr">
        <is>
          <t>Lovekountry2@gmail.com</t>
        </is>
      </c>
      <c r="O19" t="inlineStr">
        <is>
          <t>Consent form status unknown or not provided</t>
        </is>
      </c>
      <c r="P19" t="inlineStr"/>
      <c r="Q19" t="inlineStr"/>
      <c r="R19" t="inlineStr"/>
      <c r="S19" t="inlineStr"/>
      <c r="T19" t="inlineStr"/>
      <c r="U19" t="inlineStr"/>
      <c r="V19">
        <f>HYPERLINK("https://chmeetings.blob.core.windows.net/846969/attachments/B9YkQiCMUuEl7fhMqM94w/b0f466ec-8acd-4c6f-adef-e6a3339767c4.jpg", "https://chmeetings.blob.core.windows.net/846969/attachments/B9YkQiCMUuEl7fhMqM94w/b0f466ec-8acd-4c6f-adef-e6a3339767c4.jpg")</f>
        <v/>
      </c>
      <c r="W19" t="inlineStr">
        <is>
          <t>2026-05-02 20:09:43</t>
        </is>
      </c>
    </row>
    <row r="20">
      <c r="A20" t="inlineStr">
        <is>
          <t>GAC</t>
        </is>
      </c>
      <c r="B20" t="inlineStr">
        <is>
          <t>3610922</t>
        </is>
      </c>
      <c r="C20" t="inlineStr">
        <is>
          <t>Natalie</t>
        </is>
      </c>
      <c r="D20" t="inlineStr">
        <is>
          <t>Huynh</t>
        </is>
      </c>
      <c r="E20" t="inlineStr">
        <is>
          <t>Yes</t>
        </is>
      </c>
      <c r="F20" t="inlineStr">
        <is>
          <t>Yes</t>
        </is>
      </c>
      <c r="G20" t="inlineStr">
        <is>
          <t>59</t>
        </is>
      </c>
      <c r="H20" t="inlineStr">
        <is>
          <t>pending</t>
        </is>
      </c>
      <c r="I20" t="n">
        <v>1</v>
      </c>
      <c r="J20" t="inlineStr">
        <is>
          <t>Female</t>
        </is>
      </c>
      <c r="K20" t="inlineStr">
        <is>
          <t>2009-07-10</t>
        </is>
      </c>
      <c r="L20" t="n">
        <v>17</v>
      </c>
      <c r="M20" t="inlineStr">
        <is>
          <t>(510) 316-6941</t>
        </is>
      </c>
      <c r="N20" t="inlineStr">
        <is>
          <t>Evanassist@gmail.com</t>
        </is>
      </c>
      <c r="O20" t="inlineStr">
        <is>
          <t>Consent form status unknown or not provided</t>
        </is>
      </c>
      <c r="P20" t="inlineStr"/>
      <c r="Q20" t="inlineStr"/>
      <c r="R20" t="inlineStr"/>
      <c r="S20" t="inlineStr"/>
      <c r="T20" t="inlineStr"/>
      <c r="U20" t="inlineStr"/>
      <c r="V20">
        <f>HYPERLINK("https://chmeetings.blob.core.windows.net/846969/attachments/vznt2lixkKeNUrklylAOQ/9b94be0d-392e-4d1e-99d0-3439fb73bcd7.jpg", "https://chmeetings.blob.core.windows.net/846969/attachments/vznt2lixkKeNUrklylAOQ/9b94be0d-392e-4d1e-99d0-3439fb73bcd7.jpg")</f>
        <v/>
      </c>
      <c r="W20" t="inlineStr">
        <is>
          <t>2026-05-02 20:17:27</t>
        </is>
      </c>
    </row>
    <row r="21">
      <c r="A21" t="inlineStr">
        <is>
          <t>GAC</t>
        </is>
      </c>
      <c r="B21" t="inlineStr">
        <is>
          <t>3623148</t>
        </is>
      </c>
      <c r="C21" t="inlineStr">
        <is>
          <t>Abigail</t>
        </is>
      </c>
      <c r="D21" t="inlineStr">
        <is>
          <t>Ngo</t>
        </is>
      </c>
      <c r="E21" t="inlineStr">
        <is>
          <t>Yes</t>
        </is>
      </c>
      <c r="F21" t="inlineStr">
        <is>
          <t>Yes</t>
        </is>
      </c>
      <c r="G21" t="inlineStr">
        <is>
          <t>43</t>
        </is>
      </c>
      <c r="H21" t="inlineStr">
        <is>
          <t>pending</t>
        </is>
      </c>
      <c r="I21" t="n">
        <v>1</v>
      </c>
      <c r="J21" t="inlineStr">
        <is>
          <t>Female</t>
        </is>
      </c>
      <c r="K21" t="inlineStr">
        <is>
          <t>2008-11-15</t>
        </is>
      </c>
      <c r="L21" t="n">
        <v>17</v>
      </c>
      <c r="M21" t="inlineStr">
        <is>
          <t>(408) 394-9972</t>
        </is>
      </c>
      <c r="N21" t="inlineStr">
        <is>
          <t>abigailpearln@gmail.com</t>
        </is>
      </c>
      <c r="O21" t="inlineStr">
        <is>
          <t>Consent form status unknown or not provided</t>
        </is>
      </c>
      <c r="P21" t="inlineStr"/>
      <c r="Q21" t="inlineStr"/>
      <c r="R21" t="inlineStr"/>
      <c r="S21" t="inlineStr"/>
      <c r="T21" t="inlineStr"/>
      <c r="U21" t="inlineStr"/>
      <c r="V21">
        <f>HYPERLINK("https://chmeetings.blob.core.windows.net/846969/attachments/4mCxNo0K6gT61d20NBA/fcae834f-995c-404b-ac0d-725ca2e16255.jpg", "https://chmeetings.blob.core.windows.net/846969/attachments/4mCxNo0K6gT61d20NBA/fcae834f-995c-404b-ac0d-725ca2e16255.jpg")</f>
        <v/>
      </c>
      <c r="W21" t="inlineStr">
        <is>
          <t>2026-05-02 20:18:33</t>
        </is>
      </c>
    </row>
    <row r="22">
      <c r="A22" t="inlineStr">
        <is>
          <t>GAC</t>
        </is>
      </c>
      <c r="B22" t="inlineStr">
        <is>
          <t>3623145</t>
        </is>
      </c>
      <c r="C22" t="inlineStr">
        <is>
          <t>Elijah</t>
        </is>
      </c>
      <c r="D22" t="inlineStr">
        <is>
          <t>Nguyen</t>
        </is>
      </c>
      <c r="E22" t="inlineStr">
        <is>
          <t>Yes</t>
        </is>
      </c>
      <c r="F22" t="inlineStr">
        <is>
          <t>Yes</t>
        </is>
      </c>
      <c r="G22" t="inlineStr">
        <is>
          <t>49</t>
        </is>
      </c>
      <c r="H22" t="inlineStr">
        <is>
          <t>pending</t>
        </is>
      </c>
      <c r="I22" t="n">
        <v>1</v>
      </c>
      <c r="J22" t="inlineStr">
        <is>
          <t>Male</t>
        </is>
      </c>
      <c r="K22" t="inlineStr">
        <is>
          <t>2011-09-14</t>
        </is>
      </c>
      <c r="L22" t="n">
        <v>14</v>
      </c>
      <c r="M22" t="inlineStr">
        <is>
          <t>(408) 772-9825</t>
        </is>
      </c>
      <c r="N22" t="inlineStr">
        <is>
          <t>write2phuong2020@gmail.com</t>
        </is>
      </c>
      <c r="O22" t="inlineStr">
        <is>
          <t>Consent form status unknown or not provided</t>
        </is>
      </c>
      <c r="P22" t="inlineStr"/>
      <c r="Q22" t="inlineStr"/>
      <c r="R22" t="inlineStr"/>
      <c r="S22" t="inlineStr"/>
      <c r="T22" t="inlineStr"/>
      <c r="U22" t="inlineStr"/>
      <c r="V22">
        <f>HYPERLINK("https://chmeetings.blob.core.windows.net/846969/attachments/0thvFv8nzUSwHPFCj8rLmw/70d3cc8f-121f-41dd-afb3-47222f355027.jpg", "https://chmeetings.blob.core.windows.net/846969/attachments/0thvFv8nzUSwHPFCj8rLmw/70d3cc8f-121f-41dd-afb3-47222f355027.jpg")</f>
        <v/>
      </c>
      <c r="W22" t="inlineStr">
        <is>
          <t>2026-05-02 19:57:15</t>
        </is>
      </c>
    </row>
    <row r="23">
      <c r="A23" t="inlineStr">
        <is>
          <t>GAC</t>
        </is>
      </c>
      <c r="B23" t="inlineStr">
        <is>
          <t>3610918</t>
        </is>
      </c>
      <c r="C23" t="inlineStr">
        <is>
          <t>Justtin</t>
        </is>
      </c>
      <c r="D23" t="inlineStr">
        <is>
          <t>Pham</t>
        </is>
      </c>
      <c r="E23" t="inlineStr">
        <is>
          <t>Yes</t>
        </is>
      </c>
      <c r="F23" t="inlineStr">
        <is>
          <t>Yes</t>
        </is>
      </c>
      <c r="G23" t="inlineStr">
        <is>
          <t>108</t>
        </is>
      </c>
      <c r="H23" t="inlineStr">
        <is>
          <t>pending</t>
        </is>
      </c>
      <c r="I23" t="n">
        <v>1</v>
      </c>
      <c r="J23" t="inlineStr">
        <is>
          <t>Male</t>
        </is>
      </c>
      <c r="K23" t="inlineStr">
        <is>
          <t>2010-10-06</t>
        </is>
      </c>
      <c r="L23" t="n">
        <v>15</v>
      </c>
      <c r="M23" t="inlineStr">
        <is>
          <t>(925) 406-9096</t>
        </is>
      </c>
      <c r="N23" t="inlineStr">
        <is>
          <t>justjusttinpham@gmail.com</t>
        </is>
      </c>
      <c r="O23" t="inlineStr">
        <is>
          <t>Consent form status unknown or not provided</t>
        </is>
      </c>
      <c r="P23" t="inlineStr"/>
      <c r="Q23" t="inlineStr"/>
      <c r="R23" t="inlineStr"/>
      <c r="S23" t="inlineStr"/>
      <c r="T23" t="inlineStr"/>
      <c r="U23" t="inlineStr"/>
      <c r="V23">
        <f>HYPERLINK("https://chmeetings.blob.core.windows.net/846969/attachments/EGfLYzrf4UuvbrSrl3fCuQ/a15519c8-561a-4090-ae77-e8e26bc544a0.jpg", "https://chmeetings.blob.core.windows.net/846969/attachments/EGfLYzrf4UuvbrSrl3fCuQ/a15519c8-561a-4090-ae77-e8e26bc544a0.jpg")</f>
        <v/>
      </c>
      <c r="W23" t="inlineStr">
        <is>
          <t>2026-05-03 21:49:28</t>
        </is>
      </c>
    </row>
    <row r="24">
      <c r="A24" t="inlineStr">
        <is>
          <t>GAC</t>
        </is>
      </c>
      <c r="B24" t="inlineStr">
        <is>
          <t>4363701</t>
        </is>
      </c>
      <c r="C24" t="inlineStr">
        <is>
          <t>Caitlin</t>
        </is>
      </c>
      <c r="D24" t="inlineStr">
        <is>
          <t>Tran</t>
        </is>
      </c>
      <c r="E24" t="inlineStr">
        <is>
          <t>Yes</t>
        </is>
      </c>
      <c r="F24" t="inlineStr">
        <is>
          <t>Yes</t>
        </is>
      </c>
      <c r="G24" t="inlineStr">
        <is>
          <t>105</t>
        </is>
      </c>
      <c r="H24" t="inlineStr">
        <is>
          <t>pending</t>
        </is>
      </c>
      <c r="I24" t="n">
        <v>1</v>
      </c>
      <c r="J24" t="inlineStr">
        <is>
          <t>Female</t>
        </is>
      </c>
      <c r="K24" t="inlineStr">
        <is>
          <t>2013-05-15</t>
        </is>
      </c>
      <c r="L24" t="n">
        <v>13</v>
      </c>
      <c r="M24" t="inlineStr">
        <is>
          <t>(408) 568-7264</t>
        </is>
      </c>
      <c r="N24" t="inlineStr">
        <is>
          <t>timltran2003@yahoo.com</t>
        </is>
      </c>
      <c r="O24" t="inlineStr">
        <is>
          <t>Consent form status unknown or not provided</t>
        </is>
      </c>
      <c r="P24" t="inlineStr"/>
      <c r="Q24" t="inlineStr"/>
      <c r="R24" t="inlineStr"/>
      <c r="S24" t="inlineStr"/>
      <c r="T24" t="inlineStr"/>
      <c r="U24" t="inlineStr"/>
      <c r="V24">
        <f>HYPERLINK("https://chmeetings.blob.core.windows.net/846969/attachments/PE42ANWDEO4itEGSLic9A/c8d67430-bdd3-47dd-a724-f577a5d5e3e7.jpg", "https://chmeetings.blob.core.windows.net/846969/attachments/PE42ANWDEO4itEGSLic9A/c8d67430-bdd3-47dd-a724-f577a5d5e3e7.jpg")</f>
        <v/>
      </c>
      <c r="W24" t="inlineStr">
        <is>
          <t>2026-05-03 22:03:03</t>
        </is>
      </c>
    </row>
    <row r="25">
      <c r="A25" t="inlineStr">
        <is>
          <t>GAC</t>
        </is>
      </c>
      <c r="B25" t="inlineStr">
        <is>
          <t>3618804</t>
        </is>
      </c>
      <c r="C25" t="inlineStr">
        <is>
          <t>Phillip</t>
        </is>
      </c>
      <c r="D25" t="inlineStr">
        <is>
          <t>Tran</t>
        </is>
      </c>
      <c r="E25" t="inlineStr">
        <is>
          <t>Yes</t>
        </is>
      </c>
      <c r="F25" t="inlineStr">
        <is>
          <t>Yes</t>
        </is>
      </c>
      <c r="G25" t="inlineStr">
        <is>
          <t>111</t>
        </is>
      </c>
      <c r="H25" t="inlineStr">
        <is>
          <t>pending</t>
        </is>
      </c>
      <c r="I25" t="n">
        <v>1</v>
      </c>
      <c r="J25" t="inlineStr">
        <is>
          <t>Male</t>
        </is>
      </c>
      <c r="K25" t="inlineStr">
        <is>
          <t>2011-04-20</t>
        </is>
      </c>
      <c r="L25" t="n">
        <v>15</v>
      </c>
      <c r="M25" t="inlineStr">
        <is>
          <t>(408) 616-9839</t>
        </is>
      </c>
      <c r="N25" t="inlineStr">
        <is>
          <t>phillipissupercool538@gmail.com</t>
        </is>
      </c>
      <c r="O25" t="inlineStr">
        <is>
          <t>Consent form status unknown or not provided</t>
        </is>
      </c>
      <c r="P25" t="inlineStr"/>
      <c r="Q25" t="inlineStr"/>
      <c r="R25" t="inlineStr"/>
      <c r="S25" t="inlineStr"/>
      <c r="T25" t="inlineStr"/>
      <c r="U25" t="inlineStr"/>
      <c r="V25">
        <f>HYPERLINK("https://chmeetings.blob.core.windows.net/846969/attachments/fa57rd7DEUi3wuhMi4fndw/4e49d748-6cc9-4bf5-a217-81f093199461.jpg", "https://chmeetings.blob.core.windows.net/846969/attachments/fa57rd7DEUi3wuhMi4fndw/4e49d748-6cc9-4bf5-a217-81f093199461.jpg")</f>
        <v/>
      </c>
      <c r="W25" t="inlineStr">
        <is>
          <t>2026-05-03 21:49:11</t>
        </is>
      </c>
    </row>
    <row r="26">
      <c r="A26" t="inlineStr">
        <is>
          <t>GAC</t>
        </is>
      </c>
      <c r="B26" t="inlineStr">
        <is>
          <t>3610919</t>
        </is>
      </c>
      <c r="C26" t="inlineStr">
        <is>
          <t>Noah</t>
        </is>
      </c>
      <c r="D26" t="inlineStr">
        <is>
          <t>Vo</t>
        </is>
      </c>
      <c r="E26" t="inlineStr">
        <is>
          <t>Yes</t>
        </is>
      </c>
      <c r="F26" t="inlineStr">
        <is>
          <t>Yes</t>
        </is>
      </c>
      <c r="G26" t="inlineStr">
        <is>
          <t>60</t>
        </is>
      </c>
      <c r="H26" t="inlineStr">
        <is>
          <t>pending</t>
        </is>
      </c>
      <c r="I26" t="n">
        <v>1</v>
      </c>
      <c r="J26" t="inlineStr">
        <is>
          <t>Male</t>
        </is>
      </c>
      <c r="K26" t="inlineStr">
        <is>
          <t>2009-08-18</t>
        </is>
      </c>
      <c r="L26" t="n">
        <v>16</v>
      </c>
      <c r="M26" t="inlineStr">
        <is>
          <t>(510) 605-8983</t>
        </is>
      </c>
      <c r="N26" t="inlineStr">
        <is>
          <t>noahhappysmiles@gmail.com</t>
        </is>
      </c>
      <c r="O26" t="inlineStr">
        <is>
          <t>Consent form status unknown or not provided</t>
        </is>
      </c>
      <c r="P26" t="inlineStr"/>
      <c r="Q26" t="inlineStr"/>
      <c r="R26" t="inlineStr"/>
      <c r="S26" t="inlineStr"/>
      <c r="T26" t="inlineStr"/>
      <c r="U26" t="inlineStr"/>
      <c r="V26">
        <f>HYPERLINK("https://chmeetings.blob.core.windows.net/846969/attachments/5eKHOYUtGk6OW2Yv9KYF7Q/38b6a312-42c2-45d1-bf6e-ff86f4ceeca3.jpg", "https://chmeetings.blob.core.windows.net/846969/attachments/5eKHOYUtGk6OW2Yv9KYF7Q/38b6a312-42c2-45d1-bf6e-ff86f4ceeca3.jpg")</f>
        <v/>
      </c>
      <c r="W26" t="inlineStr">
        <is>
          <t>2026-05-02 20:10:27</t>
        </is>
      </c>
    </row>
    <row r="27">
      <c r="A27" t="inlineStr">
        <is>
          <t>GAC</t>
        </is>
      </c>
      <c r="B27" t="inlineStr">
        <is>
          <t>4363700</t>
        </is>
      </c>
      <c r="C27" t="inlineStr">
        <is>
          <t>Marisa</t>
        </is>
      </c>
      <c r="D27" t="inlineStr">
        <is>
          <t>Ahmed</t>
        </is>
      </c>
      <c r="E27" t="inlineStr">
        <is>
          <t>Yes</t>
        </is>
      </c>
      <c r="F27" t="inlineStr">
        <is>
          <t>No</t>
        </is>
      </c>
      <c r="G27" t="inlineStr">
        <is>
          <t>109</t>
        </is>
      </c>
      <c r="H27" t="inlineStr">
        <is>
          <t>validated</t>
        </is>
      </c>
      <c r="I27" t="n">
        <v>0</v>
      </c>
      <c r="J27" t="inlineStr">
        <is>
          <t>Female</t>
        </is>
      </c>
      <c r="K27" t="inlineStr">
        <is>
          <t>1996-03-26</t>
        </is>
      </c>
      <c r="L27" t="n">
        <v>30</v>
      </c>
      <c r="M27" t="inlineStr">
        <is>
          <t>(408) 209-1904</t>
        </is>
      </c>
      <c r="N27" t="inlineStr">
        <is>
          <t>mmllahmed@gmail.com</t>
        </is>
      </c>
      <c r="O27" t="inlineStr"/>
      <c r="P27" t="inlineStr"/>
      <c r="Q27" t="inlineStr"/>
      <c r="R27" t="inlineStr"/>
      <c r="S27" t="inlineStr"/>
      <c r="T27" t="inlineStr"/>
      <c r="U27" t="inlineStr"/>
      <c r="V27">
        <f>HYPERLINK("https://chmeetings.blob.core.windows.net/846969/attachments/qTC9Uat4MUaxatcLkF0ToA/508040b5-57e0-45eb-af89-0ef09a49a069.jpg", "https://chmeetings.blob.core.windows.net/846969/attachments/qTC9Uat4MUaxatcLkF0ToA/508040b5-57e0-45eb-af89-0ef09a49a069.jpg")</f>
        <v/>
      </c>
      <c r="W27" t="inlineStr">
        <is>
          <t>2026-05-03 22:03:03</t>
        </is>
      </c>
    </row>
    <row r="28">
      <c r="A28" t="inlineStr">
        <is>
          <t>GAC</t>
        </is>
      </c>
      <c r="B28" t="inlineStr">
        <is>
          <t>3615957</t>
        </is>
      </c>
      <c r="C28" t="inlineStr">
        <is>
          <t>Minhthu</t>
        </is>
      </c>
      <c r="D28" t="inlineStr">
        <is>
          <t>Bui</t>
        </is>
      </c>
      <c r="E28" t="inlineStr">
        <is>
          <t>Yes</t>
        </is>
      </c>
      <c r="F28" t="inlineStr">
        <is>
          <t>Yes</t>
        </is>
      </c>
      <c r="G28" t="inlineStr">
        <is>
          <t>110</t>
        </is>
      </c>
      <c r="H28" t="inlineStr">
        <is>
          <t>validated</t>
        </is>
      </c>
      <c r="I28" t="n">
        <v>0</v>
      </c>
      <c r="J28" t="inlineStr">
        <is>
          <t>Female</t>
        </is>
      </c>
      <c r="K28" t="inlineStr">
        <is>
          <t>1992-03-06</t>
        </is>
      </c>
      <c r="L28" t="n">
        <v>34</v>
      </c>
      <c r="M28" t="inlineStr">
        <is>
          <t>(714) 548-5798</t>
        </is>
      </c>
      <c r="N28" t="inlineStr">
        <is>
          <t>Mtbui03@gmail.com</t>
        </is>
      </c>
      <c r="O28" t="inlineStr"/>
      <c r="P28" t="inlineStr"/>
      <c r="Q28" t="inlineStr"/>
      <c r="R28" t="inlineStr"/>
      <c r="S28" t="inlineStr"/>
      <c r="T28" t="inlineStr"/>
      <c r="U28" t="inlineStr"/>
      <c r="V28">
        <f>HYPERLINK("https://chmeetings.blob.core.windows.net/846969/attachments/Kdpjhjg39UmtS12V5Nbyyg/bbe6199a-c907-413d-b103-9e4128d54753.jpg", "https://chmeetings.blob.core.windows.net/846969/attachments/Kdpjhjg39UmtS12V5Nbyyg/bbe6199a-c907-413d-b103-9e4128d54753.jpg")</f>
        <v/>
      </c>
      <c r="W28" t="inlineStr">
        <is>
          <t>2026-05-03 21:55:52</t>
        </is>
      </c>
    </row>
    <row r="29">
      <c r="A29" t="inlineStr">
        <is>
          <t>GAC</t>
        </is>
      </c>
      <c r="B29" t="inlineStr">
        <is>
          <t>3618803</t>
        </is>
      </c>
      <c r="C29" t="inlineStr">
        <is>
          <t>Brendan</t>
        </is>
      </c>
      <c r="D29" t="inlineStr">
        <is>
          <t>Chau</t>
        </is>
      </c>
      <c r="E29" t="inlineStr">
        <is>
          <t>Yes</t>
        </is>
      </c>
      <c r="F29" t="inlineStr">
        <is>
          <t>Yes</t>
        </is>
      </c>
      <c r="G29" t="inlineStr">
        <is>
          <t>47</t>
        </is>
      </c>
      <c r="H29" t="inlineStr">
        <is>
          <t>validated</t>
        </is>
      </c>
      <c r="I29" t="n">
        <v>0</v>
      </c>
      <c r="J29" t="inlineStr">
        <is>
          <t>Male</t>
        </is>
      </c>
      <c r="K29" t="inlineStr">
        <is>
          <t>1998-07-15</t>
        </is>
      </c>
      <c r="L29" t="n">
        <v>28</v>
      </c>
      <c r="M29" t="inlineStr">
        <is>
          <t>(408) 781-6867</t>
        </is>
      </c>
      <c r="N29" t="inlineStr">
        <is>
          <t>bvanchau35@gmail.com</t>
        </is>
      </c>
      <c r="O29" t="inlineStr"/>
      <c r="P29" t="inlineStr"/>
      <c r="Q29" t="inlineStr"/>
      <c r="R29" t="inlineStr"/>
      <c r="S29" t="inlineStr"/>
      <c r="T29" t="inlineStr"/>
      <c r="U29" t="inlineStr"/>
      <c r="V29">
        <f>HYPERLINK("https://chmeetings.blob.core.windows.net/846969/attachments/8RaR3P2EW0W4gXH4RYhbTA/5ceea1d8-d408-4951-80f1-990d0318e7f1.jpg", "https://chmeetings.blob.core.windows.net/846969/attachments/8RaR3P2EW0W4gXH4RYhbTA/5ceea1d8-d408-4951-80f1-990d0318e7f1.jpg")</f>
        <v/>
      </c>
      <c r="W29" t="inlineStr">
        <is>
          <t>2026-05-02 20:00:57</t>
        </is>
      </c>
    </row>
    <row r="30">
      <c r="A30" t="inlineStr">
        <is>
          <t>GAC</t>
        </is>
      </c>
      <c r="B30" t="inlineStr">
        <is>
          <t>3610915</t>
        </is>
      </c>
      <c r="C30" t="inlineStr">
        <is>
          <t>Joshua</t>
        </is>
      </c>
      <c r="D30" t="inlineStr">
        <is>
          <t>Dang</t>
        </is>
      </c>
      <c r="E30" t="inlineStr">
        <is>
          <t>Yes</t>
        </is>
      </c>
      <c r="F30" t="inlineStr">
        <is>
          <t>Yes</t>
        </is>
      </c>
      <c r="G30" t="inlineStr">
        <is>
          <t>55</t>
        </is>
      </c>
      <c r="H30" t="inlineStr">
        <is>
          <t>validated</t>
        </is>
      </c>
      <c r="I30" t="n">
        <v>0</v>
      </c>
      <c r="J30" t="inlineStr">
        <is>
          <t>Male</t>
        </is>
      </c>
      <c r="K30" t="inlineStr">
        <is>
          <t>2006-03-03</t>
        </is>
      </c>
      <c r="L30" t="n">
        <v>20</v>
      </c>
      <c r="M30" t="inlineStr">
        <is>
          <t>(669) 207-9451</t>
        </is>
      </c>
      <c r="N30" t="inlineStr">
        <is>
          <t>joshdang336@gmail.com</t>
        </is>
      </c>
      <c r="O30" t="inlineStr"/>
      <c r="P30" t="inlineStr"/>
      <c r="Q30" t="inlineStr"/>
      <c r="R30" t="inlineStr"/>
      <c r="S30" t="inlineStr"/>
      <c r="T30" t="inlineStr"/>
      <c r="U30" t="inlineStr"/>
      <c r="V30">
        <f>HYPERLINK("https://chmeetings.blob.core.windows.net/846969/attachments/4FXwXlnpfkCUWrqQHd3hyA/e34c034d-999f-4910-8e93-b20c75a2480d.jpg", "https://chmeetings.blob.core.windows.net/846969/attachments/4FXwXlnpfkCUWrqQHd3hyA/e34c034d-999f-4910-8e93-b20c75a2480d.jpg")</f>
        <v/>
      </c>
      <c r="W30" t="inlineStr">
        <is>
          <t>2026-05-02 20:16:10</t>
        </is>
      </c>
    </row>
    <row r="31">
      <c r="A31" t="inlineStr">
        <is>
          <t>GAC</t>
        </is>
      </c>
      <c r="B31" t="inlineStr">
        <is>
          <t>3610923</t>
        </is>
      </c>
      <c r="C31" t="inlineStr">
        <is>
          <t>Alexander</t>
        </is>
      </c>
      <c r="D31" t="inlineStr">
        <is>
          <t>Huynh</t>
        </is>
      </c>
      <c r="E31" t="inlineStr">
        <is>
          <t>Yes</t>
        </is>
      </c>
      <c r="F31" t="inlineStr">
        <is>
          <t>Yes</t>
        </is>
      </c>
      <c r="G31" t="inlineStr">
        <is>
          <t>44</t>
        </is>
      </c>
      <c r="H31" t="inlineStr">
        <is>
          <t>validated</t>
        </is>
      </c>
      <c r="I31" t="n">
        <v>0</v>
      </c>
      <c r="J31" t="inlineStr">
        <is>
          <t>Male</t>
        </is>
      </c>
      <c r="K31" t="inlineStr">
        <is>
          <t>2007-12-17</t>
        </is>
      </c>
      <c r="L31" t="n">
        <v>18</v>
      </c>
      <c r="M31" t="inlineStr">
        <is>
          <t>(510) 316-6941</t>
        </is>
      </c>
      <c r="N31" t="inlineStr">
        <is>
          <t>Evanassist@gmail.com</t>
        </is>
      </c>
      <c r="O31" t="inlineStr"/>
      <c r="P31" t="inlineStr"/>
      <c r="Q31" t="inlineStr"/>
      <c r="R31" t="inlineStr"/>
      <c r="S31" t="inlineStr"/>
      <c r="T31" t="inlineStr"/>
      <c r="U31" t="inlineStr"/>
      <c r="V31">
        <f>HYPERLINK("https://chmeetings.blob.core.windows.net/846969/attachments/AJjEeJ7FkyqVeAXFVXrlg/66768031-3472-431a-97e3-c4999286e61d.jpg", "https://chmeetings.blob.core.windows.net/846969/attachments/AJjEeJ7FkyqVeAXFVXrlg/66768031-3472-431a-97e3-c4999286e61d.jpg")</f>
        <v/>
      </c>
      <c r="W31" t="inlineStr">
        <is>
          <t>2026-05-02 20:15:27</t>
        </is>
      </c>
    </row>
    <row r="32">
      <c r="A32" t="inlineStr">
        <is>
          <t>GAC</t>
        </is>
      </c>
      <c r="B32" t="inlineStr">
        <is>
          <t>3616069</t>
        </is>
      </c>
      <c r="C32" t="inlineStr">
        <is>
          <t>Brian</t>
        </is>
      </c>
      <c r="D32" t="inlineStr">
        <is>
          <t>Le</t>
        </is>
      </c>
      <c r="E32" t="inlineStr">
        <is>
          <t>Yes</t>
        </is>
      </c>
      <c r="F32" t="inlineStr">
        <is>
          <t>Yes</t>
        </is>
      </c>
      <c r="G32" t="inlineStr">
        <is>
          <t>48</t>
        </is>
      </c>
      <c r="H32" t="inlineStr">
        <is>
          <t>validated</t>
        </is>
      </c>
      <c r="I32" t="n">
        <v>0</v>
      </c>
      <c r="J32" t="inlineStr">
        <is>
          <t>Male</t>
        </is>
      </c>
      <c r="K32" t="inlineStr">
        <is>
          <t>2000-07-08</t>
        </is>
      </c>
      <c r="L32" t="n">
        <v>26</v>
      </c>
      <c r="M32" t="inlineStr">
        <is>
          <t>(669) 255-1182</t>
        </is>
      </c>
      <c r="N32" t="inlineStr">
        <is>
          <t>lebrian0708@gmail.com</t>
        </is>
      </c>
      <c r="O32" t="inlineStr"/>
      <c r="P32" t="inlineStr"/>
      <c r="Q32" t="inlineStr"/>
      <c r="R32" t="inlineStr"/>
      <c r="S32" t="inlineStr"/>
      <c r="T32" t="inlineStr"/>
      <c r="U32" t="inlineStr"/>
      <c r="V32">
        <f>HYPERLINK("https://chmeetings.blob.core.windows.net/846969/attachments/O8QD4sgd0CUWG0wYocsQ/50c2d27b-96d9-4dc3-8835-56e05b828e31.jpg", "https://chmeetings.blob.core.windows.net/846969/attachments/O8QD4sgd0CUWG0wYocsQ/50c2d27b-96d9-4dc3-8835-56e05b828e31.jpg")</f>
        <v/>
      </c>
      <c r="W32" t="inlineStr">
        <is>
          <t>2026-05-02 20:16:40</t>
        </is>
      </c>
    </row>
    <row r="33">
      <c r="A33" t="inlineStr">
        <is>
          <t>GAC</t>
        </is>
      </c>
      <c r="B33" t="inlineStr">
        <is>
          <t>4361940</t>
        </is>
      </c>
      <c r="C33" t="inlineStr">
        <is>
          <t>Jill</t>
        </is>
      </c>
      <c r="D33" t="inlineStr">
        <is>
          <t>Mangawang</t>
        </is>
      </c>
      <c r="E33" t="inlineStr">
        <is>
          <t>Yes</t>
        </is>
      </c>
      <c r="F33" t="inlineStr">
        <is>
          <t>No</t>
        </is>
      </c>
      <c r="G33" t="inlineStr">
        <is>
          <t>54</t>
        </is>
      </c>
      <c r="H33" t="inlineStr">
        <is>
          <t>validated</t>
        </is>
      </c>
      <c r="I33" t="n">
        <v>0</v>
      </c>
      <c r="J33" t="inlineStr">
        <is>
          <t>Female</t>
        </is>
      </c>
      <c r="K33" t="inlineStr">
        <is>
          <t>2000-02-19</t>
        </is>
      </c>
      <c r="L33" t="n">
        <v>26</v>
      </c>
      <c r="M33" t="inlineStr">
        <is>
          <t>(650) 773-4162</t>
        </is>
      </c>
      <c r="N33" t="inlineStr">
        <is>
          <t>Jill.marjorie@yahoo.com</t>
        </is>
      </c>
      <c r="O33" t="inlineStr"/>
      <c r="P33" t="inlineStr"/>
      <c r="Q33" t="inlineStr"/>
      <c r="R33" t="inlineStr"/>
      <c r="S33" t="inlineStr"/>
      <c r="T33" t="inlineStr"/>
      <c r="U33" t="inlineStr"/>
      <c r="V33">
        <f>HYPERLINK("https://chmeetings.blob.core.windows.net/846969/attachments/O0vulBN2fEWjf0Xb50kUBg/56df1b2d-2da3-4c47-b78a-9a3753b58c1f.jpg", "https://chmeetings.blob.core.windows.net/846969/attachments/O0vulBN2fEWjf0Xb50kUBg/56df1b2d-2da3-4c47-b78a-9a3753b58c1f.jpg")</f>
        <v/>
      </c>
      <c r="W33" t="inlineStr">
        <is>
          <t>2026-05-02 20:04:47</t>
        </is>
      </c>
    </row>
    <row r="34">
      <c r="A34" t="inlineStr">
        <is>
          <t>GAC</t>
        </is>
      </c>
      <c r="B34" t="inlineStr">
        <is>
          <t>3610916</t>
        </is>
      </c>
      <c r="C34" t="inlineStr">
        <is>
          <t>Dung</t>
        </is>
      </c>
      <c r="D34" t="inlineStr">
        <is>
          <t>Nguyen</t>
        </is>
      </c>
      <c r="E34" t="inlineStr">
        <is>
          <t>Yes</t>
        </is>
      </c>
      <c r="F34" t="inlineStr">
        <is>
          <t>Yes</t>
        </is>
      </c>
      <c r="G34" t="inlineStr">
        <is>
          <t>106</t>
        </is>
      </c>
      <c r="H34" t="inlineStr">
        <is>
          <t>validated</t>
        </is>
      </c>
      <c r="I34" t="n">
        <v>0</v>
      </c>
      <c r="J34" t="inlineStr">
        <is>
          <t>Male</t>
        </is>
      </c>
      <c r="K34" t="inlineStr">
        <is>
          <t>1992-05-05</t>
        </is>
      </c>
      <c r="L34" t="n">
        <v>34</v>
      </c>
      <c r="M34" t="inlineStr">
        <is>
          <t>(408) 816-9773</t>
        </is>
      </c>
      <c r="N34" t="inlineStr">
        <is>
          <t>Adn@duck.com</t>
        </is>
      </c>
      <c r="O34" t="inlineStr"/>
      <c r="P34" t="inlineStr"/>
      <c r="Q34" t="inlineStr"/>
      <c r="R34" t="inlineStr"/>
      <c r="S34" t="inlineStr"/>
      <c r="T34" t="inlineStr"/>
      <c r="U34" t="inlineStr"/>
      <c r="V34">
        <f>HYPERLINK("https://chmeetings.blob.core.windows.net/846969/attachments/R2ULqwBOzEcfjGBlZ6NOg/e7732b7a-5531-4a12-957e-aaf157b04b52.jpg", "https://chmeetings.blob.core.windows.net/846969/attachments/R2ULqwBOzEcfjGBlZ6NOg/e7732b7a-5531-4a12-957e-aaf157b04b52.jpg")</f>
        <v/>
      </c>
      <c r="W34" t="inlineStr">
        <is>
          <t>2026-05-03 04:39:17</t>
        </is>
      </c>
    </row>
    <row r="35">
      <c r="A35" t="inlineStr">
        <is>
          <t>GAC</t>
        </is>
      </c>
      <c r="B35" t="inlineStr">
        <is>
          <t>3606104</t>
        </is>
      </c>
      <c r="C35" t="inlineStr">
        <is>
          <t>Eric</t>
        </is>
      </c>
      <c r="D35" t="inlineStr">
        <is>
          <t>Nguyen</t>
        </is>
      </c>
      <c r="E35" t="inlineStr">
        <is>
          <t>Yes</t>
        </is>
      </c>
      <c r="F35" t="inlineStr">
        <is>
          <t>Yes</t>
        </is>
      </c>
      <c r="G35" t="inlineStr">
        <is>
          <t>50</t>
        </is>
      </c>
      <c r="H35" t="inlineStr">
        <is>
          <t>validated</t>
        </is>
      </c>
      <c r="I35" t="n">
        <v>0</v>
      </c>
      <c r="J35" t="inlineStr">
        <is>
          <t>Male</t>
        </is>
      </c>
      <c r="K35" t="inlineStr">
        <is>
          <t>1984-07-08</t>
        </is>
      </c>
      <c r="L35" t="n">
        <v>42</v>
      </c>
      <c r="M35" t="inlineStr">
        <is>
          <t>(562) 728-3782</t>
        </is>
      </c>
      <c r="N35" t="inlineStr">
        <is>
          <t>eric.t.nguyen@gmail.com</t>
        </is>
      </c>
      <c r="O35" t="inlineStr"/>
      <c r="P35" t="inlineStr"/>
      <c r="Q35" t="inlineStr"/>
      <c r="R35" t="inlineStr"/>
      <c r="S35" t="inlineStr"/>
      <c r="T35" t="inlineStr"/>
      <c r="U35" t="inlineStr"/>
      <c r="V35">
        <f>HYPERLINK("https://chmeetings.blob.core.windows.net/846969/attachments/KN60GvBKJ0qRFQGEtYPMA/f0b82a94-8de5-49f2-bf74-75300a92c050.jpg", "https://chmeetings.blob.core.windows.net/846969/attachments/KN60GvBKJ0qRFQGEtYPMA/f0b82a94-8de5-49f2-bf74-75300a92c050.jpg")</f>
        <v/>
      </c>
      <c r="W35" t="inlineStr">
        <is>
          <t>2026-05-02 20:15:13</t>
        </is>
      </c>
    </row>
    <row r="36">
      <c r="A36" t="inlineStr">
        <is>
          <t>GAC</t>
        </is>
      </c>
      <c r="B36" t="inlineStr">
        <is>
          <t>3618805</t>
        </is>
      </c>
      <c r="C36" t="inlineStr">
        <is>
          <t>Michael</t>
        </is>
      </c>
      <c r="D36" t="inlineStr">
        <is>
          <t>Nguyen</t>
        </is>
      </c>
      <c r="E36" t="inlineStr">
        <is>
          <t>Yes</t>
        </is>
      </c>
      <c r="F36" t="inlineStr">
        <is>
          <t>Yes</t>
        </is>
      </c>
      <c r="G36" t="inlineStr">
        <is>
          <t>58</t>
        </is>
      </c>
      <c r="H36" t="inlineStr">
        <is>
          <t>validated</t>
        </is>
      </c>
      <c r="I36" t="n">
        <v>0</v>
      </c>
      <c r="J36" t="inlineStr">
        <is>
          <t>Male</t>
        </is>
      </c>
      <c r="K36" t="inlineStr">
        <is>
          <t>2002-11-04</t>
        </is>
      </c>
      <c r="L36" t="n">
        <v>23</v>
      </c>
      <c r="M36" t="inlineStr">
        <is>
          <t>(408) 609-6205</t>
        </is>
      </c>
      <c r="N36" t="inlineStr">
        <is>
          <t>michaelthonguyen@gmail.com</t>
        </is>
      </c>
      <c r="O36" t="inlineStr"/>
      <c r="P36" t="inlineStr"/>
      <c r="Q36" t="inlineStr"/>
      <c r="R36" t="inlineStr"/>
      <c r="S36" t="inlineStr"/>
      <c r="T36" t="inlineStr"/>
      <c r="U36" t="inlineStr"/>
      <c r="V36">
        <f>HYPERLINK("https://chmeetings.blob.core.windows.net/846969/attachments/LTROBmGRkCWpy8F2k5MTw/da39bbfc-1e59-4f38-adaf-49a6ca09829b.jpg", "https://chmeetings.blob.core.windows.net/846969/attachments/LTROBmGRkCWpy8F2k5MTw/da39bbfc-1e59-4f38-adaf-49a6ca09829b.jpg")</f>
        <v/>
      </c>
      <c r="W36" t="inlineStr">
        <is>
          <t>2026-05-02 20:15:57</t>
        </is>
      </c>
    </row>
    <row r="37">
      <c r="A37" t="inlineStr">
        <is>
          <t>GAC</t>
        </is>
      </c>
      <c r="B37" t="inlineStr">
        <is>
          <t>4363695</t>
        </is>
      </c>
      <c r="C37" t="inlineStr">
        <is>
          <t>Thinh</t>
        </is>
      </c>
      <c r="D37" t="inlineStr">
        <is>
          <t>Nguyen</t>
        </is>
      </c>
      <c r="E37" t="inlineStr">
        <is>
          <t>Yes</t>
        </is>
      </c>
      <c r="F37" t="inlineStr">
        <is>
          <t>Yes</t>
        </is>
      </c>
      <c r="G37" t="inlineStr">
        <is>
          <t>112</t>
        </is>
      </c>
      <c r="H37" t="inlineStr">
        <is>
          <t>validated</t>
        </is>
      </c>
      <c r="I37" t="n">
        <v>0</v>
      </c>
      <c r="J37" t="inlineStr">
        <is>
          <t>Male</t>
        </is>
      </c>
      <c r="K37" t="inlineStr">
        <is>
          <t>2002-01-23</t>
        </is>
      </c>
      <c r="L37" t="n">
        <v>24</v>
      </c>
      <c r="M37" t="inlineStr">
        <is>
          <t>(206) 581-7487</t>
        </is>
      </c>
      <c r="N37" t="inlineStr">
        <is>
          <t>mthinhngn@gmail.com</t>
        </is>
      </c>
      <c r="O37" t="inlineStr"/>
      <c r="P37" t="inlineStr"/>
      <c r="Q37" t="inlineStr"/>
      <c r="R37" t="inlineStr"/>
      <c r="S37" t="inlineStr"/>
      <c r="T37" t="inlineStr"/>
      <c r="U37" t="inlineStr"/>
      <c r="V37">
        <f>HYPERLINK("https://chmeetings.blob.core.windows.net/846969/attachments/BINhgC34TECifThOttOVlQ/04fe1f84-53cd-41d0-a989-73440f1470ff.jpg", "https://chmeetings.blob.core.windows.net/846969/attachments/BINhgC34TECifThOttOVlQ/04fe1f84-53cd-41d0-a989-73440f1470ff.jpg")</f>
        <v/>
      </c>
      <c r="W37" t="inlineStr">
        <is>
          <t>2026-05-03 21:59:14</t>
        </is>
      </c>
    </row>
    <row r="38">
      <c r="A38" t="inlineStr">
        <is>
          <t>GAC</t>
        </is>
      </c>
      <c r="B38" t="inlineStr">
        <is>
          <t>3624650</t>
        </is>
      </c>
      <c r="C38" t="inlineStr">
        <is>
          <t>Tiffany</t>
        </is>
      </c>
      <c r="D38" t="inlineStr">
        <is>
          <t>Nguyen</t>
        </is>
      </c>
      <c r="E38" t="inlineStr">
        <is>
          <t>Yes</t>
        </is>
      </c>
      <c r="F38" t="inlineStr">
        <is>
          <t>Yes</t>
        </is>
      </c>
      <c r="G38" t="inlineStr">
        <is>
          <t>113</t>
        </is>
      </c>
      <c r="H38" t="inlineStr">
        <is>
          <t>validated</t>
        </is>
      </c>
      <c r="I38" t="n">
        <v>0</v>
      </c>
      <c r="J38" t="inlineStr">
        <is>
          <t>Female</t>
        </is>
      </c>
      <c r="K38" t="inlineStr">
        <is>
          <t>2005-02-22</t>
        </is>
      </c>
      <c r="L38" t="n">
        <v>21</v>
      </c>
      <c r="M38" t="inlineStr">
        <is>
          <t>(669) 215-5720</t>
        </is>
      </c>
      <c r="N38" t="inlineStr">
        <is>
          <t>tiffanyashlyn@gmail.com</t>
        </is>
      </c>
      <c r="O38" t="inlineStr"/>
      <c r="P38" t="inlineStr"/>
      <c r="Q38" t="inlineStr"/>
      <c r="R38" t="inlineStr"/>
      <c r="S38" t="inlineStr"/>
      <c r="T38" t="inlineStr"/>
      <c r="U38" t="inlineStr"/>
      <c r="V38">
        <f>HYPERLINK("https://chmeetings.blob.core.windows.net/846969/attachments/WE2MhiU60KpfrwsRDOWw/80708536-016c-42fa-95f4-079cf3a43697.jpg", "https://chmeetings.blob.core.windows.net/846969/attachments/WE2MhiU60KpfrwsRDOWw/80708536-016c-42fa-95f4-079cf3a43697.jpg")</f>
        <v/>
      </c>
      <c r="W38" t="inlineStr">
        <is>
          <t>2026-05-03 22:01:17</t>
        </is>
      </c>
    </row>
    <row r="39">
      <c r="A39" t="inlineStr">
        <is>
          <t>GAC</t>
        </is>
      </c>
      <c r="B39" t="inlineStr">
        <is>
          <t>4362356</t>
        </is>
      </c>
      <c r="C39" t="inlineStr">
        <is>
          <t>Truc Nhi</t>
        </is>
      </c>
      <c r="D39" t="inlineStr">
        <is>
          <t>Nguyen</t>
        </is>
      </c>
      <c r="E39" t="inlineStr">
        <is>
          <t>Yes</t>
        </is>
      </c>
      <c r="F39" t="inlineStr">
        <is>
          <t>Yes</t>
        </is>
      </c>
      <c r="G39" t="inlineStr">
        <is>
          <t>115</t>
        </is>
      </c>
      <c r="H39" t="inlineStr">
        <is>
          <t>validated</t>
        </is>
      </c>
      <c r="I39" t="n">
        <v>0</v>
      </c>
      <c r="J39" t="inlineStr">
        <is>
          <t>Female</t>
        </is>
      </c>
      <c r="K39" t="inlineStr">
        <is>
          <t>1991-11-03</t>
        </is>
      </c>
      <c r="L39" t="n">
        <v>34</v>
      </c>
      <c r="M39" t="inlineStr">
        <is>
          <t>(408) 442-7876</t>
        </is>
      </c>
      <c r="N39" t="inlineStr">
        <is>
          <t>email.truc.nguyen@gmail.com</t>
        </is>
      </c>
      <c r="O39" t="inlineStr"/>
      <c r="P39" t="inlineStr"/>
      <c r="Q39" t="inlineStr"/>
      <c r="R39" t="inlineStr"/>
      <c r="S39" t="inlineStr"/>
      <c r="T39" t="inlineStr"/>
      <c r="U39" t="inlineStr"/>
      <c r="V39">
        <f>HYPERLINK("https://chmeetings.blob.core.windows.net/846969/attachments/b2wuZtU20k6fS0QeesnJyQ/59603b15-0eb7-4a31-a342-a678670261a5.jpg", "https://chmeetings.blob.core.windows.net/846969/attachments/b2wuZtU20k6fS0QeesnJyQ/59603b15-0eb7-4a31-a342-a678670261a5.jpg")</f>
        <v/>
      </c>
      <c r="W39" t="inlineStr">
        <is>
          <t>2026-05-03 04:39:31</t>
        </is>
      </c>
    </row>
    <row r="40">
      <c r="A40" t="inlineStr">
        <is>
          <t>GAC</t>
        </is>
      </c>
      <c r="B40" t="inlineStr">
        <is>
          <t>3636819</t>
        </is>
      </c>
      <c r="C40" t="inlineStr">
        <is>
          <t>Jeremy</t>
        </is>
      </c>
      <c r="D40" t="inlineStr">
        <is>
          <t>OConnor</t>
        </is>
      </c>
      <c r="E40" t="inlineStr">
        <is>
          <t>Yes</t>
        </is>
      </c>
      <c r="F40" t="inlineStr">
        <is>
          <t>Yes</t>
        </is>
      </c>
      <c r="G40" t="inlineStr">
        <is>
          <t>53</t>
        </is>
      </c>
      <c r="H40" t="inlineStr">
        <is>
          <t>validated</t>
        </is>
      </c>
      <c r="I40" t="n">
        <v>0</v>
      </c>
      <c r="J40" t="inlineStr">
        <is>
          <t>Male</t>
        </is>
      </c>
      <c r="K40" t="inlineStr">
        <is>
          <t>1997-12-18</t>
        </is>
      </c>
      <c r="L40" t="n">
        <v>28</v>
      </c>
      <c r="M40" t="inlineStr">
        <is>
          <t>(408) 728-2130</t>
        </is>
      </c>
      <c r="N40" t="inlineStr">
        <is>
          <t>jeremyoc241@gmail.com</t>
        </is>
      </c>
      <c r="O40" t="inlineStr"/>
      <c r="P40" t="inlineStr"/>
      <c r="Q40" t="inlineStr"/>
      <c r="R40" t="inlineStr"/>
      <c r="S40" t="inlineStr"/>
      <c r="T40" t="inlineStr"/>
      <c r="U40" t="inlineStr"/>
      <c r="V40">
        <f>HYPERLINK("https://chmeetings.blob.core.windows.net/846969/attachments/2EMW7UJtRk6APQ4qdfqDcA/cae1b6ba-c323-4927-8239-f131801812c4.jpg", "https://chmeetings.blob.core.windows.net/846969/attachments/2EMW7UJtRk6APQ4qdfqDcA/cae1b6ba-c323-4927-8239-f131801812c4.jpg")</f>
        <v/>
      </c>
      <c r="W40" t="inlineStr">
        <is>
          <t>2026-05-02 20:15:41</t>
        </is>
      </c>
    </row>
    <row r="41">
      <c r="A41" t="inlineStr">
        <is>
          <t>GAC</t>
        </is>
      </c>
      <c r="B41" t="inlineStr">
        <is>
          <t>3615958</t>
        </is>
      </c>
      <c r="C41" t="inlineStr">
        <is>
          <t>Jamie</t>
        </is>
      </c>
      <c r="D41" t="inlineStr">
        <is>
          <t>Sauveur</t>
        </is>
      </c>
      <c r="E41" t="inlineStr">
        <is>
          <t>Yes</t>
        </is>
      </c>
      <c r="F41" t="inlineStr">
        <is>
          <t>Yes</t>
        </is>
      </c>
      <c r="G41" t="inlineStr">
        <is>
          <t>107</t>
        </is>
      </c>
      <c r="H41" t="inlineStr">
        <is>
          <t>validated</t>
        </is>
      </c>
      <c r="I41" t="n">
        <v>0</v>
      </c>
      <c r="J41" t="inlineStr">
        <is>
          <t>Male</t>
        </is>
      </c>
      <c r="K41" t="inlineStr">
        <is>
          <t>1997-06-25</t>
        </is>
      </c>
      <c r="L41" t="n">
        <v>29</v>
      </c>
      <c r="M41" t="inlineStr">
        <is>
          <t>(408) 605-7288</t>
        </is>
      </c>
      <c r="N41" t="inlineStr">
        <is>
          <t>jamieboy97@gmail.com</t>
        </is>
      </c>
      <c r="O41" t="inlineStr"/>
      <c r="P41" t="inlineStr"/>
      <c r="Q41" t="inlineStr"/>
      <c r="R41" t="inlineStr"/>
      <c r="S41" t="inlineStr"/>
      <c r="T41" t="inlineStr"/>
      <c r="U41" t="inlineStr"/>
      <c r="V41">
        <f>HYPERLINK("https://chmeetings.blob.core.windows.net/846969/attachments/qPojkJbp4kmvCBQqd9r3Hw/09507491-ec10-4228-9164-6ed0669cc6b3.jpg", "https://chmeetings.blob.core.windows.net/846969/attachments/qPojkJbp4kmvCBQqd9r3Hw/09507491-ec10-4228-9164-6ed0669cc6b3.jpg")</f>
        <v/>
      </c>
      <c r="W41" t="inlineStr">
        <is>
          <t>2026-05-03 04:38:34</t>
        </is>
      </c>
    </row>
    <row r="42">
      <c r="A42" t="inlineStr">
        <is>
          <t>GAC</t>
        </is>
      </c>
      <c r="B42" t="inlineStr">
        <is>
          <t>3615948</t>
        </is>
      </c>
      <c r="C42" t="inlineStr">
        <is>
          <t>Anthony</t>
        </is>
      </c>
      <c r="D42" t="inlineStr">
        <is>
          <t>Ta</t>
        </is>
      </c>
      <c r="E42" t="inlineStr">
        <is>
          <t>Yes</t>
        </is>
      </c>
      <c r="F42" t="inlineStr">
        <is>
          <t>Yes</t>
        </is>
      </c>
      <c r="G42" t="inlineStr">
        <is>
          <t>46</t>
        </is>
      </c>
      <c r="H42" t="inlineStr">
        <is>
          <t>validated</t>
        </is>
      </c>
      <c r="I42" t="n">
        <v>0</v>
      </c>
      <c r="J42" t="inlineStr">
        <is>
          <t>Male</t>
        </is>
      </c>
      <c r="K42" t="inlineStr">
        <is>
          <t>2000-07-24</t>
        </is>
      </c>
      <c r="L42" t="n">
        <v>25</v>
      </c>
      <c r="M42" t="inlineStr">
        <is>
          <t>502</t>
        </is>
      </c>
      <c r="N42" t="inlineStr">
        <is>
          <t>anthonyta502@gmail.com</t>
        </is>
      </c>
      <c r="O42" t="inlineStr"/>
      <c r="P42" t="inlineStr"/>
      <c r="Q42" t="inlineStr"/>
      <c r="R42" t="inlineStr"/>
      <c r="S42" t="inlineStr"/>
      <c r="T42" t="inlineStr"/>
      <c r="U42" t="inlineStr"/>
      <c r="V42">
        <f>HYPERLINK("https://chmeetings.blob.core.windows.net/846969/attachments/jl2i4eVeYECLBJcTyk7tA/55b9f204-7df3-4ccf-ba35-08d5400d946c.jpg", "https://chmeetings.blob.core.windows.net/846969/attachments/jl2i4eVeYECLBJcTyk7tA/55b9f204-7df3-4ccf-ba35-08d5400d946c.jpg")</f>
        <v/>
      </c>
      <c r="W42" t="inlineStr">
        <is>
          <t>2026-05-02 20:12:45</t>
        </is>
      </c>
    </row>
    <row r="43">
      <c r="A43" t="inlineStr">
        <is>
          <t>GAC</t>
        </is>
      </c>
      <c r="B43" t="inlineStr">
        <is>
          <t>4363702</t>
        </is>
      </c>
      <c r="C43" t="inlineStr">
        <is>
          <t>Timothy</t>
        </is>
      </c>
      <c r="D43" t="inlineStr">
        <is>
          <t>Tran</t>
        </is>
      </c>
      <c r="E43" t="inlineStr">
        <is>
          <t>Yes</t>
        </is>
      </c>
      <c r="F43" t="inlineStr">
        <is>
          <t>Yes</t>
        </is>
      </c>
      <c r="G43" t="inlineStr">
        <is>
          <t>114</t>
        </is>
      </c>
      <c r="H43" t="inlineStr">
        <is>
          <t>validated</t>
        </is>
      </c>
      <c r="I43" t="n">
        <v>0</v>
      </c>
      <c r="J43" t="inlineStr">
        <is>
          <t>Male</t>
        </is>
      </c>
      <c r="K43" t="inlineStr">
        <is>
          <t>1970-02-22</t>
        </is>
      </c>
      <c r="L43" t="n">
        <v>56</v>
      </c>
      <c r="M43" t="inlineStr">
        <is>
          <t>(408) 568-7264</t>
        </is>
      </c>
      <c r="N43" t="inlineStr">
        <is>
          <t>timltran2003@yahoo.com</t>
        </is>
      </c>
      <c r="O43" t="inlineStr"/>
      <c r="P43" t="inlineStr"/>
      <c r="Q43" t="inlineStr"/>
      <c r="R43" t="inlineStr"/>
      <c r="S43" t="inlineStr"/>
      <c r="T43" t="inlineStr"/>
      <c r="U43" t="inlineStr"/>
      <c r="V43">
        <f>HYPERLINK("https://chmeetings.blob.core.windows.net/846969/attachments/ROHoX9AhkqcJQzXnKNrQ/9b3a9902-9865-411f-8560-68da85fa6eaf.jpg", "https://chmeetings.blob.core.windows.net/846969/attachments/ROHoX9AhkqcJQzXnKNrQ/9b3a9902-9865-411f-8560-68da85fa6eaf.jpg")</f>
        <v/>
      </c>
      <c r="W43" t="inlineStr">
        <is>
          <t>2026-05-03 22:04:01</t>
        </is>
      </c>
    </row>
    <row r="44">
      <c r="A44" t="inlineStr">
        <is>
          <t>GAC</t>
        </is>
      </c>
      <c r="B44" t="inlineStr">
        <is>
          <t>3476612</t>
        </is>
      </c>
      <c r="C44" t="inlineStr">
        <is>
          <t>Vivian</t>
        </is>
      </c>
      <c r="D44" t="inlineStr">
        <is>
          <t>Tran</t>
        </is>
      </c>
      <c r="E44" t="inlineStr">
        <is>
          <t>Yes</t>
        </is>
      </c>
      <c r="F44" t="inlineStr">
        <is>
          <t>Yes</t>
        </is>
      </c>
      <c r="G44" t="inlineStr">
        <is>
          <t>116</t>
        </is>
      </c>
      <c r="H44" t="inlineStr">
        <is>
          <t>validated</t>
        </is>
      </c>
      <c r="I44" t="n">
        <v>0</v>
      </c>
      <c r="J44" t="inlineStr">
        <is>
          <t>Female</t>
        </is>
      </c>
      <c r="K44" t="inlineStr">
        <is>
          <t>2002-11-27</t>
        </is>
      </c>
      <c r="L44" t="n">
        <v>23</v>
      </c>
      <c r="M44" t="inlineStr">
        <is>
          <t>(916) 272-5979</t>
        </is>
      </c>
      <c r="N44" t="inlineStr">
        <is>
          <t>Viviantrvnn@gmail.com</t>
        </is>
      </c>
      <c r="O44" t="inlineStr"/>
      <c r="P44" t="inlineStr"/>
      <c r="Q44" t="inlineStr"/>
      <c r="R44" t="inlineStr"/>
      <c r="S44" t="inlineStr"/>
      <c r="T44" t="inlineStr"/>
      <c r="U44" t="inlineStr"/>
      <c r="V44">
        <f>HYPERLINK("https://chmeetings.blob.core.windows.net/846969/attachments/Yp0fusxU7UaOh8VIZqAdA/caa141b9-5524-474e-80b6-679f3fc1d845.jpg", "https://chmeetings.blob.core.windows.net/846969/attachments/Yp0fusxU7UaOh8VIZqAdA/caa141b9-5524-474e-80b6-679f3fc1d845.jpg")</f>
        <v/>
      </c>
      <c r="W44" t="inlineStr">
        <is>
          <t>2026-05-03 04:38:09</t>
        </is>
      </c>
    </row>
    <row r="45">
      <c r="A45" t="inlineStr">
        <is>
          <t>GAC</t>
        </is>
      </c>
      <c r="B45" t="inlineStr">
        <is>
          <t>3610920</t>
        </is>
      </c>
      <c r="C45" t="inlineStr">
        <is>
          <t>Aly</t>
        </is>
      </c>
      <c r="D45" t="inlineStr">
        <is>
          <t>Vo</t>
        </is>
      </c>
      <c r="E45" t="inlineStr">
        <is>
          <t>Yes</t>
        </is>
      </c>
      <c r="F45" t="inlineStr">
        <is>
          <t>Yes</t>
        </is>
      </c>
      <c r="G45" t="inlineStr">
        <is>
          <t>45</t>
        </is>
      </c>
      <c r="H45" t="inlineStr">
        <is>
          <t>validated</t>
        </is>
      </c>
      <c r="I45" t="n">
        <v>0</v>
      </c>
      <c r="J45" t="inlineStr">
        <is>
          <t>Female</t>
        </is>
      </c>
      <c r="K45" t="inlineStr">
        <is>
          <t>2008-01-29</t>
        </is>
      </c>
      <c r="L45" t="n">
        <v>18</v>
      </c>
      <c r="M45" t="inlineStr">
        <is>
          <t>(341) 227-8343</t>
        </is>
      </c>
      <c r="N45" t="inlineStr">
        <is>
          <t>Aly.vo29@gmail.com</t>
        </is>
      </c>
      <c r="O45" t="inlineStr"/>
      <c r="P45" t="inlineStr"/>
      <c r="Q45" t="inlineStr"/>
      <c r="R45" t="inlineStr"/>
      <c r="S45" t="inlineStr"/>
      <c r="T45" t="inlineStr"/>
      <c r="U45" t="inlineStr"/>
      <c r="V45">
        <f>HYPERLINK("https://chmeetings.blob.core.windows.net/846969/attachments/OyWbdJyT5EixPoP3spOyLg/80becd09-3898-4d0b-a5a3-71310f9d20d4.jpg", "https://chmeetings.blob.core.windows.net/846969/attachments/OyWbdJyT5EixPoP3spOyLg/80becd09-3898-4d0b-a5a3-71310f9d20d4.jpg")</f>
        <v/>
      </c>
      <c r="W45" t="inlineStr">
        <is>
          <t>2026-05-02 20:17:10</t>
        </is>
      </c>
    </row>
    <row r="46">
      <c r="A46" t="inlineStr">
        <is>
          <t>GAC</t>
        </is>
      </c>
      <c r="B46" t="inlineStr">
        <is>
          <t>3610917</t>
        </is>
      </c>
      <c r="C46" t="inlineStr">
        <is>
          <t>Kayla</t>
        </is>
      </c>
      <c r="D46" t="inlineStr">
        <is>
          <t>Vo</t>
        </is>
      </c>
      <c r="E46" t="inlineStr">
        <is>
          <t>Yes</t>
        </is>
      </c>
      <c r="F46" t="inlineStr">
        <is>
          <t>Yes</t>
        </is>
      </c>
      <c r="G46" t="inlineStr">
        <is>
          <t>56</t>
        </is>
      </c>
      <c r="H46" t="inlineStr">
        <is>
          <t>validated</t>
        </is>
      </c>
      <c r="I46" t="n">
        <v>0</v>
      </c>
      <c r="J46" t="inlineStr">
        <is>
          <t>Female</t>
        </is>
      </c>
      <c r="K46" t="inlineStr">
        <is>
          <t>2006-09-02</t>
        </is>
      </c>
      <c r="L46" t="n">
        <v>19</v>
      </c>
      <c r="M46" t="inlineStr">
        <is>
          <t>(510) 774-2614</t>
        </is>
      </c>
      <c r="N46" t="inlineStr">
        <is>
          <t>kaimyvo@gmail.com</t>
        </is>
      </c>
      <c r="O46" t="inlineStr"/>
      <c r="P46" t="inlineStr"/>
      <c r="Q46" t="inlineStr"/>
      <c r="R46" t="inlineStr"/>
      <c r="S46" t="inlineStr"/>
      <c r="T46" t="inlineStr"/>
      <c r="U46" t="inlineStr"/>
      <c r="V46">
        <f>HYPERLINK("https://chmeetings.blob.core.windows.net/846969/attachments/dbPn6hwRbUmuEMeKWTNWxg/56cb0979-8b71-4c8e-9f5b-db9d018e400f.jpg", "https://chmeetings.blob.core.windows.net/846969/attachments/dbPn6hwRbUmuEMeKWTNWxg/56cb0979-8b71-4c8e-9f5b-db9d018e400f.jpg")</f>
        <v/>
      </c>
      <c r="W46" t="inlineStr">
        <is>
          <t>2026-05-02 19:59:03</t>
        </is>
      </c>
    </row>
    <row r="47">
      <c r="A47" t="inlineStr">
        <is>
          <t>GAC</t>
        </is>
      </c>
      <c r="B47" t="inlineStr">
        <is>
          <t>3615953</t>
        </is>
      </c>
      <c r="C47" t="inlineStr">
        <is>
          <t>Bethany</t>
        </is>
      </c>
      <c r="D47" t="inlineStr">
        <is>
          <t>Dang</t>
        </is>
      </c>
      <c r="E47" t="inlineStr">
        <is>
          <t>No</t>
        </is>
      </c>
      <c r="F47" t="inlineStr">
        <is>
          <t>Yes</t>
        </is>
      </c>
      <c r="G47" t="n">
        <v>0</v>
      </c>
      <c r="H47" t="inlineStr">
        <is>
          <t>N/A</t>
        </is>
      </c>
      <c r="I47" t="n">
        <v>0</v>
      </c>
      <c r="J47" t="inlineStr">
        <is>
          <t>Female</t>
        </is>
      </c>
      <c r="K47" t="inlineStr">
        <is>
          <t>2013-10-30</t>
        </is>
      </c>
      <c r="L47" t="n">
        <v>12</v>
      </c>
      <c r="M47" t="inlineStr">
        <is>
          <t>(925) 577-5310</t>
        </is>
      </c>
      <c r="N47" t="inlineStr">
        <is>
          <t>djdang0716@gmail.com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N/A</t>
        </is>
      </c>
      <c r="W47" t="inlineStr">
        <is>
          <t>2026-05-02 20:00:09</t>
        </is>
      </c>
    </row>
    <row r="48">
      <c r="A48" t="inlineStr">
        <is>
          <t>GAC</t>
        </is>
      </c>
      <c r="B48" t="inlineStr">
        <is>
          <t>3615952</t>
        </is>
      </c>
      <c r="C48" t="inlineStr">
        <is>
          <t>Jordan</t>
        </is>
      </c>
      <c r="D48" t="inlineStr">
        <is>
          <t>Dang</t>
        </is>
      </c>
      <c r="E48" t="inlineStr">
        <is>
          <t>No</t>
        </is>
      </c>
      <c r="F48" t="inlineStr">
        <is>
          <t>Yes</t>
        </is>
      </c>
      <c r="G48" t="n">
        <v>0</v>
      </c>
      <c r="H48" t="inlineStr">
        <is>
          <t>N/A</t>
        </is>
      </c>
      <c r="I48" t="n">
        <v>0</v>
      </c>
      <c r="J48" t="inlineStr">
        <is>
          <t>Male</t>
        </is>
      </c>
      <c r="K48" t="inlineStr">
        <is>
          <t>2013-03-17</t>
        </is>
      </c>
      <c r="L48" t="n">
        <v>13</v>
      </c>
      <c r="M48" t="inlineStr">
        <is>
          <t>(925) 577-5310</t>
        </is>
      </c>
      <c r="N48" t="inlineStr">
        <is>
          <t>djdang0716@gmail.com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N/A</t>
        </is>
      </c>
      <c r="W48" t="inlineStr">
        <is>
          <t>2026-05-02 19:59:58</t>
        </is>
      </c>
    </row>
    <row r="49">
      <c r="A49" t="inlineStr">
        <is>
          <t>GLA</t>
        </is>
      </c>
      <c r="B49" t="inlineStr">
        <is>
          <t>3629646</t>
        </is>
      </c>
      <c r="C49" t="inlineStr">
        <is>
          <t>Timothy</t>
        </is>
      </c>
      <c r="D49" t="inlineStr">
        <is>
          <t>Le</t>
        </is>
      </c>
      <c r="E49" t="inlineStr">
        <is>
          <t>Yes</t>
        </is>
      </c>
      <c r="F49" t="inlineStr">
        <is>
          <t>Yes</t>
        </is>
      </c>
      <c r="G49" t="inlineStr">
        <is>
          <t>41</t>
        </is>
      </c>
      <c r="H49" t="inlineStr">
        <is>
          <t>pending</t>
        </is>
      </c>
      <c r="I49" t="n">
        <v>1</v>
      </c>
      <c r="J49" t="inlineStr">
        <is>
          <t>Male</t>
        </is>
      </c>
      <c r="K49" t="inlineStr">
        <is>
          <t>2012-07-16</t>
        </is>
      </c>
      <c r="L49" t="n">
        <v>14</v>
      </c>
      <c r="M49" t="inlineStr">
        <is>
          <t>(747) 236-9493</t>
        </is>
      </c>
      <c r="N49" t="inlineStr">
        <is>
          <t>tle0168@mymail.lausd.net</t>
        </is>
      </c>
      <c r="O49" t="inlineStr">
        <is>
          <t>Consent form status unknown or not provided</t>
        </is>
      </c>
      <c r="P49" t="inlineStr">
        <is>
          <t>1. Correct identity, gender, age range</t>
        </is>
      </c>
      <c r="Q49" t="inlineStr"/>
      <c r="R49" t="inlineStr">
        <is>
          <t>3. Account created on Member Portal and logged in</t>
        </is>
      </c>
      <c r="S49" t="inlineStr">
        <is>
          <t>4. Valid Photo as ID for event check-in</t>
        </is>
      </c>
      <c r="T49" t="inlineStr"/>
      <c r="U49" t="inlineStr"/>
      <c r="V49">
        <f>HYPERLINK("https://chmeetings.blob.core.windows.net/846969/attachments/WfQk1w0b0O76DBIEeFaag/f6059547-2901-4815-b55d-66de1acd7f37.jpg", "https://chmeetings.blob.core.windows.net/846969/attachments/WfQk1w0b0O76DBIEeFaag/f6059547-2901-4815-b55d-66de1acd7f37.jpg")</f>
        <v/>
      </c>
      <c r="W49" t="inlineStr">
        <is>
          <t>2026-05-02 19:45:15</t>
        </is>
      </c>
    </row>
    <row r="50">
      <c r="A50" t="inlineStr">
        <is>
          <t>GLA</t>
        </is>
      </c>
      <c r="B50" t="inlineStr">
        <is>
          <t>3615945</t>
        </is>
      </c>
      <c r="C50" t="inlineStr">
        <is>
          <t>Noah</t>
        </is>
      </c>
      <c r="D50" t="inlineStr">
        <is>
          <t>Nguyen</t>
        </is>
      </c>
      <c r="E50" t="inlineStr">
        <is>
          <t>Yes</t>
        </is>
      </c>
      <c r="F50" t="inlineStr">
        <is>
          <t>Yes</t>
        </is>
      </c>
      <c r="G50" t="inlineStr">
        <is>
          <t>38</t>
        </is>
      </c>
      <c r="H50" t="inlineStr">
        <is>
          <t>pending</t>
        </is>
      </c>
      <c r="I50" t="n">
        <v>1</v>
      </c>
      <c r="J50" t="inlineStr">
        <is>
          <t>Male</t>
        </is>
      </c>
      <c r="K50" t="inlineStr">
        <is>
          <t>2010-01-30</t>
        </is>
      </c>
      <c r="L50" t="n">
        <v>16</v>
      </c>
      <c r="M50" t="inlineStr">
        <is>
          <t>(818) 471-6453</t>
        </is>
      </c>
      <c r="N50" t="inlineStr">
        <is>
          <t>nnguyen0063@mymail.lausd.net</t>
        </is>
      </c>
      <c r="O50" t="inlineStr">
        <is>
          <t>Consent form status unknown or not provided</t>
        </is>
      </c>
      <c r="P50" t="inlineStr">
        <is>
          <t>1. Correct identity, gender, age range</t>
        </is>
      </c>
      <c r="Q50" t="inlineStr"/>
      <c r="R50" t="inlineStr">
        <is>
          <t>3. Account created on Member Portal and logged in</t>
        </is>
      </c>
      <c r="S50" t="inlineStr">
        <is>
          <t>4. Valid Photo as ID for event check-in</t>
        </is>
      </c>
      <c r="T50" t="inlineStr"/>
      <c r="U50" t="inlineStr"/>
      <c r="V50">
        <f>HYPERLINK("https://chmeetings.blob.core.windows.net/846969/attachments/m8ZIG9l0q0SQqgX5gZgIiw/bfdaebb3-efb9-4138-83ee-93fa773220cd.jpg", "https://chmeetings.blob.core.windows.net/846969/attachments/m8ZIG9l0q0SQqgX5gZgIiw/bfdaebb3-efb9-4138-83ee-93fa773220cd.jpg")</f>
        <v/>
      </c>
      <c r="W50" t="inlineStr">
        <is>
          <t>2026-05-02 19:46:32</t>
        </is>
      </c>
    </row>
    <row r="51">
      <c r="A51" t="inlineStr">
        <is>
          <t>GLA</t>
        </is>
      </c>
      <c r="B51" t="inlineStr">
        <is>
          <t>4361929</t>
        </is>
      </c>
      <c r="C51" t="inlineStr">
        <is>
          <t>Wynson</t>
        </is>
      </c>
      <c r="D51" t="inlineStr">
        <is>
          <t>Nong</t>
        </is>
      </c>
      <c r="E51" t="inlineStr">
        <is>
          <t>Yes</t>
        </is>
      </c>
      <c r="F51" t="inlineStr">
        <is>
          <t>Yes</t>
        </is>
      </c>
      <c r="G51" t="inlineStr">
        <is>
          <t>42</t>
        </is>
      </c>
      <c r="H51" t="inlineStr">
        <is>
          <t>pending</t>
        </is>
      </c>
      <c r="I51" t="n">
        <v>1</v>
      </c>
      <c r="J51" t="inlineStr">
        <is>
          <t>Male</t>
        </is>
      </c>
      <c r="K51" t="inlineStr">
        <is>
          <t>2012-05-30</t>
        </is>
      </c>
      <c r="L51" t="n">
        <v>14</v>
      </c>
      <c r="M51" t="inlineStr">
        <is>
          <t>(626) 975-1445</t>
        </is>
      </c>
      <c r="N51" t="inlineStr">
        <is>
          <t>Nongwynson@gmail.com</t>
        </is>
      </c>
      <c r="O51" t="inlineStr">
        <is>
          <t>Consent form status unknown or not provided</t>
        </is>
      </c>
      <c r="P51" t="inlineStr"/>
      <c r="Q51" t="inlineStr"/>
      <c r="R51" t="inlineStr">
        <is>
          <t>3. Account created on Member Portal and logged in</t>
        </is>
      </c>
      <c r="S51" t="inlineStr">
        <is>
          <t>4. Valid Photo as ID for event check-in</t>
        </is>
      </c>
      <c r="T51" t="inlineStr"/>
      <c r="U51" t="inlineStr"/>
      <c r="V51">
        <f>HYPERLINK("https://chmeetings.blob.core.windows.net/846969/attachments/ZHwVcAbhikGrvFy7cbAgOw/65c7c3f4-46ed-4da0-b2f4-61e31c920b9f.jpg", "https://chmeetings.blob.core.windows.net/846969/attachments/ZHwVcAbhikGrvFy7cbAgOw/65c7c3f4-46ed-4da0-b2f4-61e31c920b9f.jpg")</f>
        <v/>
      </c>
      <c r="W51" t="inlineStr">
        <is>
          <t>2026-05-02 19:45:52</t>
        </is>
      </c>
    </row>
    <row r="52">
      <c r="A52" t="inlineStr">
        <is>
          <t>GLA</t>
        </is>
      </c>
      <c r="B52" t="inlineStr">
        <is>
          <t>4361936</t>
        </is>
      </c>
      <c r="C52" t="inlineStr">
        <is>
          <t>Jolie</t>
        </is>
      </c>
      <c r="D52" t="inlineStr">
        <is>
          <t>Wang</t>
        </is>
      </c>
      <c r="E52" t="inlineStr">
        <is>
          <t>Yes</t>
        </is>
      </c>
      <c r="F52" t="inlineStr">
        <is>
          <t>Yes</t>
        </is>
      </c>
      <c r="G52" t="inlineStr">
        <is>
          <t>37</t>
        </is>
      </c>
      <c r="H52" t="inlineStr">
        <is>
          <t>pending</t>
        </is>
      </c>
      <c r="I52" t="n">
        <v>1</v>
      </c>
      <c r="J52" t="inlineStr">
        <is>
          <t>Female</t>
        </is>
      </c>
      <c r="K52" t="inlineStr">
        <is>
          <t>2011-01-20</t>
        </is>
      </c>
      <c r="L52" t="n">
        <v>15</v>
      </c>
      <c r="M52" t="inlineStr">
        <is>
          <t>(626) 560-8082</t>
        </is>
      </c>
      <c r="N52" t="inlineStr">
        <is>
          <t>joliewang12@gmail.com</t>
        </is>
      </c>
      <c r="O52" t="inlineStr">
        <is>
          <t>Consent form status unknown or not provided</t>
        </is>
      </c>
      <c r="P52" t="inlineStr">
        <is>
          <t>1. Correct identity, gender, age range</t>
        </is>
      </c>
      <c r="Q52" t="inlineStr"/>
      <c r="R52" t="inlineStr">
        <is>
          <t>3. Account created on Member Portal and logged in</t>
        </is>
      </c>
      <c r="S52" t="inlineStr">
        <is>
          <t>4. Valid Photo as ID for event check-in</t>
        </is>
      </c>
      <c r="T52" t="inlineStr"/>
      <c r="U52" t="inlineStr"/>
      <c r="V52">
        <f>HYPERLINK("https://chmeetings.blob.core.windows.net/846969/attachments/MiQBuOnZk0eapDUpawDkNA/5295deb6-c6cd-4150-b7b5-d64dd70083b6.jpg", "https://chmeetings.blob.core.windows.net/846969/attachments/MiQBuOnZk0eapDUpawDkNA/5295deb6-c6cd-4150-b7b5-d64dd70083b6.jpg")</f>
        <v/>
      </c>
      <c r="W52" t="inlineStr">
        <is>
          <t>2026-05-02 19:51:59</t>
        </is>
      </c>
    </row>
    <row r="53">
      <c r="A53" t="inlineStr">
        <is>
          <t>GLA</t>
        </is>
      </c>
      <c r="B53" t="inlineStr">
        <is>
          <t>3622669</t>
        </is>
      </c>
      <c r="C53" t="inlineStr">
        <is>
          <t>Brittany</t>
        </is>
      </c>
      <c r="D53" t="inlineStr">
        <is>
          <t>Huynh</t>
        </is>
      </c>
      <c r="E53" t="inlineStr">
        <is>
          <t>Yes</t>
        </is>
      </c>
      <c r="F53" t="inlineStr">
        <is>
          <t>Yes</t>
        </is>
      </c>
      <c r="G53" t="inlineStr">
        <is>
          <t>35</t>
        </is>
      </c>
      <c r="H53" t="inlineStr">
        <is>
          <t>pending_approval</t>
        </is>
      </c>
      <c r="I53" t="n">
        <v>0</v>
      </c>
      <c r="J53" t="inlineStr">
        <is>
          <t>Female</t>
        </is>
      </c>
      <c r="K53" t="inlineStr">
        <is>
          <t>1997-08-26</t>
        </is>
      </c>
      <c r="L53" t="n">
        <v>28</v>
      </c>
      <c r="M53" t="inlineStr">
        <is>
          <t>(818) 681-6010</t>
        </is>
      </c>
      <c r="N53" t="inlineStr">
        <is>
          <t>brittany.huynh08@gmail.com</t>
        </is>
      </c>
      <c r="O53" t="inlineStr"/>
      <c r="P53" t="inlineStr">
        <is>
          <t>1. Correct identity, gender, age range</t>
        </is>
      </c>
      <c r="Q53" t="inlineStr">
        <is>
          <t>2. Consent Form Signed by Self or Parents</t>
        </is>
      </c>
      <c r="R53" t="inlineStr">
        <is>
          <t>3. Account created on Member Portal and logged in</t>
        </is>
      </c>
      <c r="S53" t="inlineStr">
        <is>
          <t>4. Valid Photo as ID for event check-in</t>
        </is>
      </c>
      <c r="T53" t="inlineStr"/>
      <c r="U53" t="inlineStr"/>
      <c r="V53">
        <f>HYPERLINK("https://chmeetings.blob.core.windows.net/846969/attachments/uJkCrgqNzkSEZSsvBrzxzg/dd65d621-0f48-4d4b-bceb-4bdde79b8168.jpg", "https://chmeetings.blob.core.windows.net/846969/attachments/uJkCrgqNzkSEZSsvBrzxzg/dd65d621-0f48-4d4b-bceb-4bdde79b8168.jpg")</f>
        <v/>
      </c>
      <c r="W53" t="inlineStr">
        <is>
          <t>2026-05-02 19:50:27</t>
        </is>
      </c>
    </row>
    <row r="54">
      <c r="A54" t="inlineStr">
        <is>
          <t>GLA</t>
        </is>
      </c>
      <c r="B54" t="inlineStr">
        <is>
          <t>3626538</t>
        </is>
      </c>
      <c r="C54" t="inlineStr">
        <is>
          <t>Sophia</t>
        </is>
      </c>
      <c r="D54" t="inlineStr">
        <is>
          <t>Ly</t>
        </is>
      </c>
      <c r="E54" t="inlineStr">
        <is>
          <t>Yes</t>
        </is>
      </c>
      <c r="F54" t="inlineStr">
        <is>
          <t>No</t>
        </is>
      </c>
      <c r="G54" t="inlineStr">
        <is>
          <t>93</t>
        </is>
      </c>
      <c r="H54" t="inlineStr">
        <is>
          <t>validated</t>
        </is>
      </c>
      <c r="I54" t="n">
        <v>0</v>
      </c>
      <c r="J54" t="inlineStr">
        <is>
          <t>Female</t>
        </is>
      </c>
      <c r="K54" t="inlineStr">
        <is>
          <t>1996-10-29</t>
        </is>
      </c>
      <c r="L54" t="n">
        <v>29</v>
      </c>
      <c r="M54" t="inlineStr">
        <is>
          <t>(626) 993-8265</t>
        </is>
      </c>
      <c r="N54" t="inlineStr">
        <is>
          <t>Nousesyly@gmail.com</t>
        </is>
      </c>
      <c r="O54" t="inlineStr"/>
      <c r="P54" t="inlineStr"/>
      <c r="Q54" t="inlineStr"/>
      <c r="R54" t="inlineStr"/>
      <c r="S54" t="inlineStr"/>
      <c r="T54" t="inlineStr"/>
      <c r="U54" t="inlineStr"/>
      <c r="V54">
        <f>HYPERLINK("https://chmeetings.blob.core.windows.net/846969/attachments/q2lPenc10mkyifWDpteDw/d35966b3-7913-4313-ada9-9e3f70d94f15.jpg", "https://chmeetings.blob.core.windows.net/846969/attachments/q2lPenc10mkyifWDpteDw/d35966b3-7913-4313-ada9-9e3f70d94f15.jpg")</f>
        <v/>
      </c>
      <c r="W54" t="inlineStr">
        <is>
          <t>2026-05-03 21:46:41</t>
        </is>
      </c>
    </row>
    <row r="55">
      <c r="A55" t="inlineStr">
        <is>
          <t>GLA</t>
        </is>
      </c>
      <c r="B55" t="inlineStr">
        <is>
          <t>3615916</t>
        </is>
      </c>
      <c r="C55" t="inlineStr">
        <is>
          <t>Thu</t>
        </is>
      </c>
      <c r="D55" t="inlineStr">
        <is>
          <t>Mai</t>
        </is>
      </c>
      <c r="E55" t="inlineStr">
        <is>
          <t>Yes</t>
        </is>
      </c>
      <c r="F55" t="inlineStr">
        <is>
          <t>Yes</t>
        </is>
      </c>
      <c r="G55" t="inlineStr">
        <is>
          <t>40</t>
        </is>
      </c>
      <c r="H55" t="inlineStr">
        <is>
          <t>pending_approval</t>
        </is>
      </c>
      <c r="I55" t="n">
        <v>0</v>
      </c>
      <c r="J55" t="inlineStr">
        <is>
          <t>Male</t>
        </is>
      </c>
      <c r="K55" t="inlineStr">
        <is>
          <t>1995-11-18</t>
        </is>
      </c>
      <c r="L55" t="n">
        <v>30</v>
      </c>
      <c r="M55" t="inlineStr">
        <is>
          <t>(213) 550-6758</t>
        </is>
      </c>
      <c r="N55" t="inlineStr">
        <is>
          <t>Mai2twix@gmail.com</t>
        </is>
      </c>
      <c r="O55" t="inlineStr"/>
      <c r="P55" t="inlineStr">
        <is>
          <t>1. Correct identity, gender, age range</t>
        </is>
      </c>
      <c r="Q55" t="inlineStr">
        <is>
          <t>2. Consent Form Signed by Self or Parents</t>
        </is>
      </c>
      <c r="R55" t="inlineStr">
        <is>
          <t>3. Account created on Member Portal and logged in</t>
        </is>
      </c>
      <c r="S55" t="inlineStr">
        <is>
          <t>4. Valid Photo as ID for event check-in</t>
        </is>
      </c>
      <c r="T55" t="inlineStr"/>
      <c r="U55" t="inlineStr"/>
      <c r="V55">
        <f>HYPERLINK("https://chmeetings.blob.core.windows.net/846969/attachments/kZ8EYhJrK02XqidXFTFjaA/a31be902-82b7-46d4-99d9-bcb4f0d9a080.jpg", "https://chmeetings.blob.core.windows.net/846969/attachments/kZ8EYhJrK02XqidXFTFjaA/a31be902-82b7-46d4-99d9-bcb4f0d9a080.jpg")</f>
        <v/>
      </c>
      <c r="W55" t="inlineStr">
        <is>
          <t>2026-05-02 19:47:12</t>
        </is>
      </c>
    </row>
    <row r="56">
      <c r="A56" t="inlineStr">
        <is>
          <t>GLA</t>
        </is>
      </c>
      <c r="B56" t="inlineStr">
        <is>
          <t>3570848</t>
        </is>
      </c>
      <c r="C56" t="inlineStr">
        <is>
          <t>Edwin Joshua</t>
        </is>
      </c>
      <c r="D56" t="inlineStr">
        <is>
          <t>Miciano</t>
        </is>
      </c>
      <c r="E56" t="inlineStr">
        <is>
          <t>Yes</t>
        </is>
      </c>
      <c r="F56" t="inlineStr">
        <is>
          <t>Yes</t>
        </is>
      </c>
      <c r="G56" t="inlineStr">
        <is>
          <t>90</t>
        </is>
      </c>
      <c r="H56" t="inlineStr">
        <is>
          <t>pending_approval</t>
        </is>
      </c>
      <c r="I56" t="n">
        <v>0</v>
      </c>
      <c r="J56" t="inlineStr">
        <is>
          <t>Male</t>
        </is>
      </c>
      <c r="K56" t="inlineStr">
        <is>
          <t>2000-08-21</t>
        </is>
      </c>
      <c r="L56" t="n">
        <v>25</v>
      </c>
      <c r="M56" t="inlineStr">
        <is>
          <t>(818) 572-5802</t>
        </is>
      </c>
      <c r="N56" t="inlineStr">
        <is>
          <t>ejomiciano@gmail.com</t>
        </is>
      </c>
      <c r="O56" t="inlineStr"/>
      <c r="P56" t="inlineStr">
        <is>
          <t>1. Correct identity, gender, age range</t>
        </is>
      </c>
      <c r="Q56" t="inlineStr">
        <is>
          <t>2. Consent Form Signed by Self or Parents</t>
        </is>
      </c>
      <c r="R56" t="inlineStr">
        <is>
          <t>3. Account created on Member Portal and logged in</t>
        </is>
      </c>
      <c r="S56" t="inlineStr">
        <is>
          <t>4. Valid Photo as ID for event check-in</t>
        </is>
      </c>
      <c r="T56" t="inlineStr"/>
      <c r="U56" t="inlineStr"/>
      <c r="V56">
        <f>HYPERLINK("https://chmeetings.blob.core.windows.net/846969/attachments/9nPE07rppUmkSggzO9ESg/47d06526-4fa5-4234-9c13-94ab1e6ca296.jpg", "https://chmeetings.blob.core.windows.net/846969/attachments/9nPE07rppUmkSggzO9ESg/47d06526-4fa5-4234-9c13-94ab1e6ca296.jpg")</f>
        <v/>
      </c>
      <c r="W56" t="inlineStr">
        <is>
          <t>2026-05-03 21:47:46</t>
        </is>
      </c>
    </row>
    <row r="57">
      <c r="A57" t="inlineStr">
        <is>
          <t>GLA</t>
        </is>
      </c>
      <c r="B57" t="inlineStr">
        <is>
          <t>3629598</t>
        </is>
      </c>
      <c r="C57" t="inlineStr">
        <is>
          <t>Jason</t>
        </is>
      </c>
      <c r="D57" t="inlineStr">
        <is>
          <t>Ngo</t>
        </is>
      </c>
      <c r="E57" t="inlineStr">
        <is>
          <t>Yes</t>
        </is>
      </c>
      <c r="F57" t="inlineStr">
        <is>
          <t>Yes</t>
        </is>
      </c>
      <c r="G57" t="inlineStr">
        <is>
          <t>36</t>
        </is>
      </c>
      <c r="H57" t="inlineStr">
        <is>
          <t>pending_approval</t>
        </is>
      </c>
      <c r="I57" t="n">
        <v>0</v>
      </c>
      <c r="J57" t="inlineStr">
        <is>
          <t>Male</t>
        </is>
      </c>
      <c r="K57" t="inlineStr">
        <is>
          <t>2007-11-25</t>
        </is>
      </c>
      <c r="L57" t="n">
        <v>18</v>
      </c>
      <c r="M57" t="inlineStr">
        <is>
          <t>(626) 382-9183</t>
        </is>
      </c>
      <c r="N57" t="inlineStr">
        <is>
          <t>ngojason99@gmail.com</t>
        </is>
      </c>
      <c r="O57" t="inlineStr"/>
      <c r="P57" t="inlineStr">
        <is>
          <t>1. Correct identity, gender, age range</t>
        </is>
      </c>
      <c r="Q57" t="inlineStr">
        <is>
          <t>2. Consent Form Signed by Self or Parents</t>
        </is>
      </c>
      <c r="R57" t="inlineStr">
        <is>
          <t>3. Account created on Member Portal and logged in</t>
        </is>
      </c>
      <c r="S57" t="inlineStr">
        <is>
          <t>4. Valid Photo as ID for event check-in</t>
        </is>
      </c>
      <c r="T57" t="inlineStr"/>
      <c r="U57" t="inlineStr"/>
      <c r="V57">
        <f>HYPERLINK("https://chmeetings.blob.core.windows.net/846969/attachments/BXJuEt43kmCzzwySYy0w/35a1da42-670c-46b3-a780-f0a182a01ab2.jpg", "https://chmeetings.blob.core.windows.net/846969/attachments/BXJuEt43kmCzzwySYy0w/35a1da42-670c-46b3-a780-f0a182a01ab2.jpg")</f>
        <v/>
      </c>
      <c r="W57" t="inlineStr">
        <is>
          <t>2026-05-02 19:50:44</t>
        </is>
      </c>
    </row>
    <row r="58">
      <c r="A58" t="inlineStr">
        <is>
          <t>GLA</t>
        </is>
      </c>
      <c r="B58" t="inlineStr">
        <is>
          <t>3476631</t>
        </is>
      </c>
      <c r="C58" t="inlineStr">
        <is>
          <t>Rebecca</t>
        </is>
      </c>
      <c r="D58" t="inlineStr">
        <is>
          <t>Nguyen</t>
        </is>
      </c>
      <c r="E58" t="inlineStr">
        <is>
          <t>Yes</t>
        </is>
      </c>
      <c r="F58" t="inlineStr">
        <is>
          <t>Yes</t>
        </is>
      </c>
      <c r="G58" t="inlineStr">
        <is>
          <t>39</t>
        </is>
      </c>
      <c r="H58" t="inlineStr">
        <is>
          <t>validated</t>
        </is>
      </c>
      <c r="I58" t="n">
        <v>0</v>
      </c>
      <c r="J58" t="inlineStr">
        <is>
          <t>Female</t>
        </is>
      </c>
      <c r="K58" t="inlineStr">
        <is>
          <t>2002-06-21</t>
        </is>
      </c>
      <c r="L58" t="n">
        <v>24</v>
      </c>
      <c r="M58" t="inlineStr">
        <is>
          <t>(818) 212-8589</t>
        </is>
      </c>
      <c r="N58" t="inlineStr">
        <is>
          <t>rebeccanguyen0621@gmail.com</t>
        </is>
      </c>
      <c r="O58" t="inlineStr"/>
      <c r="P58" t="inlineStr">
        <is>
          <t>1. Correct identity, gender, age range</t>
        </is>
      </c>
      <c r="Q58" t="inlineStr"/>
      <c r="R58" t="inlineStr">
        <is>
          <t>3. Account created on Member Portal and logged in</t>
        </is>
      </c>
      <c r="S58" t="inlineStr">
        <is>
          <t>4. Valid Photo as ID for event check-in</t>
        </is>
      </c>
      <c r="T58" t="inlineStr"/>
      <c r="U58" t="inlineStr"/>
      <c r="V58">
        <f>HYPERLINK("https://chmeetings.blob.core.windows.net/846969/attachments/CakuT0nFcE6wgbtq4gPaVg/94bed426-bace-4116-89e1-37cf2dfbec3c.jpg", "https://chmeetings.blob.core.windows.net/846969/attachments/CakuT0nFcE6wgbtq4gPaVg/94bed426-bace-4116-89e1-37cf2dfbec3c.jpg")</f>
        <v/>
      </c>
      <c r="W58" t="inlineStr">
        <is>
          <t>2026-05-02 19:51:19</t>
        </is>
      </c>
    </row>
    <row r="59">
      <c r="A59" t="inlineStr">
        <is>
          <t>GLA</t>
        </is>
      </c>
      <c r="B59" t="inlineStr">
        <is>
          <t>3615944</t>
        </is>
      </c>
      <c r="C59" t="inlineStr">
        <is>
          <t>Johnson</t>
        </is>
      </c>
      <c r="D59" t="inlineStr">
        <is>
          <t>Pham</t>
        </is>
      </c>
      <c r="E59" t="inlineStr">
        <is>
          <t>Yes</t>
        </is>
      </c>
      <c r="F59" t="inlineStr">
        <is>
          <t>Yes</t>
        </is>
      </c>
      <c r="G59" t="inlineStr">
        <is>
          <t>91</t>
        </is>
      </c>
      <c r="H59" t="inlineStr">
        <is>
          <t>validated</t>
        </is>
      </c>
      <c r="I59" t="n">
        <v>0</v>
      </c>
      <c r="J59" t="inlineStr">
        <is>
          <t>Male</t>
        </is>
      </c>
      <c r="K59" t="inlineStr">
        <is>
          <t>1998-04-16</t>
        </is>
      </c>
      <c r="L59" t="n">
        <v>28</v>
      </c>
      <c r="M59" t="inlineStr">
        <is>
          <t>(626) 940-6989</t>
        </is>
      </c>
      <c r="N59" t="inlineStr">
        <is>
          <t>Johnson.hpham98@gmail.com</t>
        </is>
      </c>
      <c r="O59" t="inlineStr"/>
      <c r="P59" t="inlineStr"/>
      <c r="Q59" t="inlineStr"/>
      <c r="R59" t="inlineStr"/>
      <c r="S59" t="inlineStr"/>
      <c r="T59" t="inlineStr"/>
      <c r="U59" t="inlineStr"/>
      <c r="V59">
        <f>HYPERLINK("https://chmeetings.blob.core.windows.net/846969/attachments/rYVJ4qoKkKAROIF7jl8aw/b8c5c502-e207-415e-860d-5ced9831efc8.jpg", "https://chmeetings.blob.core.windows.net/846969/attachments/rYVJ4qoKkKAROIF7jl8aw/b8c5c502-e207-415e-860d-5ced9831efc8.jpg")</f>
        <v/>
      </c>
      <c r="W59" t="inlineStr">
        <is>
          <t>2026-05-03 21:54:32</t>
        </is>
      </c>
    </row>
    <row r="60">
      <c r="A60" t="inlineStr">
        <is>
          <t>GLA</t>
        </is>
      </c>
      <c r="B60" t="inlineStr">
        <is>
          <t>3625818</t>
        </is>
      </c>
      <c r="C60" t="inlineStr">
        <is>
          <t>Kristine</t>
        </is>
      </c>
      <c r="D60" t="inlineStr">
        <is>
          <t>Pham</t>
        </is>
      </c>
      <c r="E60" t="inlineStr">
        <is>
          <t>Yes</t>
        </is>
      </c>
      <c r="F60" t="inlineStr">
        <is>
          <t>Yes</t>
        </is>
      </c>
      <c r="G60" t="inlineStr">
        <is>
          <t>92</t>
        </is>
      </c>
      <c r="H60" t="inlineStr">
        <is>
          <t>validated</t>
        </is>
      </c>
      <c r="I60" t="n">
        <v>0</v>
      </c>
      <c r="J60" t="inlineStr">
        <is>
          <t>Female</t>
        </is>
      </c>
      <c r="K60" t="inlineStr">
        <is>
          <t>1999-08-06</t>
        </is>
      </c>
      <c r="L60" t="n">
        <v>26</v>
      </c>
      <c r="M60" t="inlineStr">
        <is>
          <t>(626) 940-7093</t>
        </is>
      </c>
      <c r="N60" t="inlineStr">
        <is>
          <t>Kristinephammy@gmail.com</t>
        </is>
      </c>
      <c r="O60" t="inlineStr"/>
      <c r="P60" t="inlineStr"/>
      <c r="Q60" t="inlineStr"/>
      <c r="R60" t="inlineStr"/>
      <c r="S60" t="inlineStr"/>
      <c r="T60" t="inlineStr"/>
      <c r="U60" t="inlineStr"/>
      <c r="V60">
        <f>HYPERLINK("https://chmeetings.blob.core.windows.net/846969/attachments/OSCmy82Y7Ua7YlAvx7rpoA/a5c208c0-832a-4714-9b87-ba8388868c91.jpg", "https://chmeetings.blob.core.windows.net/846969/attachments/OSCmy82Y7Ua7YlAvx7rpoA/a5c208c0-832a-4714-9b87-ba8388868c91.jpg")</f>
        <v/>
      </c>
      <c r="W60" t="inlineStr">
        <is>
          <t>2026-05-03 22:04:15</t>
        </is>
      </c>
    </row>
    <row r="61">
      <c r="A61" t="inlineStr">
        <is>
          <t>LBC</t>
        </is>
      </c>
      <c r="B61" t="inlineStr">
        <is>
          <t>3476642</t>
        </is>
      </c>
      <c r="C61" t="inlineStr">
        <is>
          <t>Annette</t>
        </is>
      </c>
      <c r="D61" t="inlineStr">
        <is>
          <t>Nguyen</t>
        </is>
      </c>
      <c r="E61" t="inlineStr">
        <is>
          <t>Yes</t>
        </is>
      </c>
      <c r="F61" t="inlineStr">
        <is>
          <t>Yes</t>
        </is>
      </c>
      <c r="G61" t="inlineStr">
        <is>
          <t>69</t>
        </is>
      </c>
      <c r="H61" t="inlineStr">
        <is>
          <t>validated</t>
        </is>
      </c>
      <c r="I61" t="n">
        <v>0</v>
      </c>
      <c r="J61" t="inlineStr">
        <is>
          <t>Female</t>
        </is>
      </c>
      <c r="K61" t="inlineStr">
        <is>
          <t>2003-10-18</t>
        </is>
      </c>
      <c r="L61" t="n">
        <v>22</v>
      </c>
      <c r="M61" t="inlineStr">
        <is>
          <t>(424) 309-4723</t>
        </is>
      </c>
      <c r="N61" t="inlineStr">
        <is>
          <t>annettenguyen18@gmail.com</t>
        </is>
      </c>
      <c r="O61" t="inlineStr"/>
      <c r="P61" t="inlineStr"/>
      <c r="Q61" t="inlineStr"/>
      <c r="R61" t="inlineStr"/>
      <c r="S61" t="inlineStr"/>
      <c r="T61" t="inlineStr"/>
      <c r="U61" t="inlineStr"/>
      <c r="V61">
        <f>HYPERLINK("https://chmeetings.blob.core.windows.net/846969/attachments/ywIVZ4GlH0WBlvelRjagw/64ae18f7-a8c2-40c7-94ad-0f5b09d44ccc.jpg", "https://chmeetings.blob.core.windows.net/846969/attachments/ywIVZ4GlH0WBlvelRjagw/64ae18f7-a8c2-40c7-94ad-0f5b09d44ccc.jpg")</f>
        <v/>
      </c>
      <c r="W61" t="inlineStr">
        <is>
          <t>2026-05-02 20:00:27</t>
        </is>
      </c>
    </row>
    <row r="62">
      <c r="A62" t="inlineStr">
        <is>
          <t>MWC</t>
        </is>
      </c>
      <c r="B62" t="inlineStr">
        <is>
          <t>4363691</t>
        </is>
      </c>
      <c r="C62" t="inlineStr">
        <is>
          <t>Benjamin</t>
        </is>
      </c>
      <c r="D62" t="inlineStr">
        <is>
          <t>Bui</t>
        </is>
      </c>
      <c r="E62" t="inlineStr">
        <is>
          <t>Yes</t>
        </is>
      </c>
      <c r="F62" t="inlineStr">
        <is>
          <t>Yes</t>
        </is>
      </c>
      <c r="G62" t="inlineStr">
        <is>
          <t>118</t>
        </is>
      </c>
      <c r="H62" t="inlineStr">
        <is>
          <t>pending</t>
        </is>
      </c>
      <c r="I62" t="n">
        <v>1</v>
      </c>
      <c r="J62" t="inlineStr">
        <is>
          <t>Male</t>
        </is>
      </c>
      <c r="K62" t="inlineStr">
        <is>
          <t>2011-07-12</t>
        </is>
      </c>
      <c r="L62" t="n">
        <v>15</v>
      </c>
      <c r="M62" t="inlineStr">
        <is>
          <t>17142449022</t>
        </is>
      </c>
      <c r="N62" t="inlineStr">
        <is>
          <t>Buibenjamine@gmail.com</t>
        </is>
      </c>
      <c r="O62" t="inlineStr">
        <is>
          <t>Consent form status unknown or not provided</t>
        </is>
      </c>
      <c r="P62" t="inlineStr"/>
      <c r="Q62" t="inlineStr"/>
      <c r="R62" t="inlineStr"/>
      <c r="S62" t="inlineStr"/>
      <c r="T62" t="inlineStr"/>
      <c r="U62" t="inlineStr"/>
      <c r="V62">
        <f>HYPERLINK("https://chmeetings.blob.core.windows.net/846969/attachments/LZK1UKiU9ka1qz181LoFHw/c787d8f9-2fa0-4b66-9472-2970b24b4acd.jpg", "https://chmeetings.blob.core.windows.net/846969/attachments/LZK1UKiU9ka1qz181LoFHw/c787d8f9-2fa0-4b66-9472-2970b24b4acd.jpg")</f>
        <v/>
      </c>
      <c r="W62" t="inlineStr">
        <is>
          <t>2026-05-03 21:46:19</t>
        </is>
      </c>
    </row>
    <row r="63">
      <c r="A63" t="inlineStr">
        <is>
          <t>MWC</t>
        </is>
      </c>
      <c r="B63" t="inlineStr">
        <is>
          <t>4363690</t>
        </is>
      </c>
      <c r="C63" t="inlineStr">
        <is>
          <t>Bao</t>
        </is>
      </c>
      <c r="D63" t="inlineStr">
        <is>
          <t>Bui</t>
        </is>
      </c>
      <c r="E63" t="inlineStr">
        <is>
          <t>Yes</t>
        </is>
      </c>
      <c r="F63" t="inlineStr">
        <is>
          <t>Yes</t>
        </is>
      </c>
      <c r="G63" t="inlineStr">
        <is>
          <t>117</t>
        </is>
      </c>
      <c r="H63" t="inlineStr">
        <is>
          <t>validated</t>
        </is>
      </c>
      <c r="I63" t="n">
        <v>0</v>
      </c>
      <c r="J63" t="inlineStr">
        <is>
          <t>Male</t>
        </is>
      </c>
      <c r="K63" t="inlineStr">
        <is>
          <t>2008-01-13</t>
        </is>
      </c>
      <c r="L63" t="n">
        <v>18</v>
      </c>
      <c r="M63" t="inlineStr">
        <is>
          <t>(657) 410-9810</t>
        </is>
      </c>
      <c r="N63" t="inlineStr">
        <is>
          <t>baothegamer@gmail.com</t>
        </is>
      </c>
      <c r="O63" t="inlineStr"/>
      <c r="P63" t="inlineStr"/>
      <c r="Q63" t="inlineStr"/>
      <c r="R63" t="inlineStr"/>
      <c r="S63" t="inlineStr"/>
      <c r="T63" t="inlineStr"/>
      <c r="U63" t="inlineStr"/>
      <c r="V63">
        <f>HYPERLINK("https://chmeetings.blob.core.windows.net/846969/attachments/TK02JE6UvkS6L5y3RVMZpw/1c35dc11-101f-473e-9f3b-e6cf53c7a11e.jpg", "https://chmeetings.blob.core.windows.net/846969/attachments/TK02JE6UvkS6L5y3RVMZpw/1c35dc11-101f-473e-9f3b-e6cf53c7a11e.jpg")</f>
        <v/>
      </c>
      <c r="W63" t="inlineStr">
        <is>
          <t>2026-05-03 21:45:43</t>
        </is>
      </c>
    </row>
    <row r="64">
      <c r="A64" t="inlineStr">
        <is>
          <t>MWC</t>
        </is>
      </c>
      <c r="B64" t="inlineStr">
        <is>
          <t>3476634</t>
        </is>
      </c>
      <c r="C64" t="inlineStr">
        <is>
          <t>John</t>
        </is>
      </c>
      <c r="D64" t="inlineStr">
        <is>
          <t>Lu</t>
        </is>
      </c>
      <c r="E64" t="inlineStr">
        <is>
          <t>Yes</t>
        </is>
      </c>
      <c r="F64" t="inlineStr">
        <is>
          <t>Yes</t>
        </is>
      </c>
      <c r="G64" t="inlineStr">
        <is>
          <t>120</t>
        </is>
      </c>
      <c r="H64" t="inlineStr">
        <is>
          <t>validated</t>
        </is>
      </c>
      <c r="I64" t="n">
        <v>0</v>
      </c>
      <c r="J64" t="inlineStr">
        <is>
          <t>Male</t>
        </is>
      </c>
      <c r="K64" t="inlineStr">
        <is>
          <t>1984-06-08</t>
        </is>
      </c>
      <c r="L64" t="n">
        <v>42</v>
      </c>
      <c r="M64" t="inlineStr">
        <is>
          <t>(657) 351-9362</t>
        </is>
      </c>
      <c r="N64" t="inlineStr">
        <is>
          <t>johnlu608@gmail.com</t>
        </is>
      </c>
      <c r="O64" t="inlineStr"/>
      <c r="P64" t="inlineStr"/>
      <c r="Q64" t="inlineStr"/>
      <c r="R64" t="inlineStr"/>
      <c r="S64" t="inlineStr"/>
      <c r="T64" t="inlineStr"/>
      <c r="U64" t="inlineStr"/>
      <c r="V64">
        <f>HYPERLINK("https://chmeetings.blob.core.windows.net/846969/attachments/DMJy6bIivkC21E56G9lGBg/f5bc2a18-7216-40ce-8bb1-3a3b35e0bf59.jpg", "https://chmeetings.blob.core.windows.net/846969/attachments/DMJy6bIivkC21E56G9lGBg/f5bc2a18-7216-40ce-8bb1-3a3b35e0bf59.jpg")</f>
        <v/>
      </c>
      <c r="W64" t="inlineStr">
        <is>
          <t>2026-05-03 21:58:25</t>
        </is>
      </c>
    </row>
    <row r="65">
      <c r="A65" t="inlineStr">
        <is>
          <t>MWC</t>
        </is>
      </c>
      <c r="B65" t="inlineStr">
        <is>
          <t>4363692</t>
        </is>
      </c>
      <c r="C65" t="inlineStr">
        <is>
          <t>Clayton</t>
        </is>
      </c>
      <c r="D65" t="inlineStr">
        <is>
          <t>Nguyen</t>
        </is>
      </c>
      <c r="E65" t="inlineStr">
        <is>
          <t>Yes</t>
        </is>
      </c>
      <c r="F65" t="inlineStr">
        <is>
          <t>Yes</t>
        </is>
      </c>
      <c r="G65" t="inlineStr">
        <is>
          <t>119</t>
        </is>
      </c>
      <c r="H65" t="inlineStr">
        <is>
          <t>validated</t>
        </is>
      </c>
      <c r="I65" t="n">
        <v>0</v>
      </c>
      <c r="J65" t="inlineStr">
        <is>
          <t>Male</t>
        </is>
      </c>
      <c r="K65" t="inlineStr">
        <is>
          <t>2008-05-03</t>
        </is>
      </c>
      <c r="L65" t="n">
        <v>18</v>
      </c>
      <c r="M65" t="inlineStr">
        <is>
          <t>17147507541</t>
        </is>
      </c>
      <c r="N65" t="inlineStr">
        <is>
          <t>pfahdm@gmail.com</t>
        </is>
      </c>
      <c r="O65" t="inlineStr"/>
      <c r="P65" t="inlineStr"/>
      <c r="Q65" t="inlineStr"/>
      <c r="R65" t="inlineStr"/>
      <c r="S65" t="inlineStr"/>
      <c r="T65" t="inlineStr"/>
      <c r="U65" t="inlineStr"/>
      <c r="V65">
        <f>HYPERLINK("https://chmeetings.blob.core.windows.net/846969/attachments/6LKiSjJdRkWdjj89jvYwA/c73829bb-5793-49aa-862f-26c7d3b3b76b.jpg", "https://chmeetings.blob.core.windows.net/846969/attachments/6LKiSjJdRkWdjj89jvYwA/c73829bb-5793-49aa-862f-26c7d3b3b76b.jpg")</f>
        <v/>
      </c>
      <c r="W65" t="inlineStr">
        <is>
          <t>2026-05-03 21:46:20</t>
        </is>
      </c>
    </row>
    <row r="66">
      <c r="A66" t="inlineStr">
        <is>
          <t>MWC</t>
        </is>
      </c>
      <c r="B66" t="inlineStr">
        <is>
          <t>3634402</t>
        </is>
      </c>
      <c r="C66" t="inlineStr">
        <is>
          <t>Mai</t>
        </is>
      </c>
      <c r="D66" t="inlineStr">
        <is>
          <t>Nguyen</t>
        </is>
      </c>
      <c r="E66" t="inlineStr">
        <is>
          <t>Yes</t>
        </is>
      </c>
      <c r="F66" t="inlineStr">
        <is>
          <t>Yes</t>
        </is>
      </c>
      <c r="G66" t="inlineStr">
        <is>
          <t>121</t>
        </is>
      </c>
      <c r="H66" t="inlineStr">
        <is>
          <t>validated</t>
        </is>
      </c>
      <c r="I66" t="n">
        <v>0</v>
      </c>
      <c r="J66" t="inlineStr">
        <is>
          <t>Female</t>
        </is>
      </c>
      <c r="K66" t="inlineStr">
        <is>
          <t>2005-01-30</t>
        </is>
      </c>
      <c r="L66" t="n">
        <v>21</v>
      </c>
      <c r="M66" t="inlineStr">
        <is>
          <t>(714) 902-8040</t>
        </is>
      </c>
      <c r="N66" t="inlineStr">
        <is>
          <t>mainguyen300105@gmail.com</t>
        </is>
      </c>
      <c r="O66" t="inlineStr"/>
      <c r="P66" t="inlineStr"/>
      <c r="Q66" t="inlineStr"/>
      <c r="R66" t="inlineStr"/>
      <c r="S66" t="inlineStr"/>
      <c r="T66" t="inlineStr"/>
      <c r="U66" t="inlineStr"/>
      <c r="V66">
        <f>HYPERLINK("https://chmeetings.blob.core.windows.net/846969/attachments/qwaDZjf0aNW9jVVcIEXA/99f4374c-673a-4df1-b72e-ef135b7bf532.jpg", "https://chmeetings.blob.core.windows.net/846969/attachments/qwaDZjf0aNW9jVVcIEXA/99f4374c-673a-4df1-b72e-ef135b7bf532.jpg")</f>
        <v/>
      </c>
      <c r="W66" t="inlineStr">
        <is>
          <t>2026-05-03 04:39:46</t>
        </is>
      </c>
    </row>
    <row r="67">
      <c r="A67" t="inlineStr">
        <is>
          <t>MWC</t>
        </is>
      </c>
      <c r="B67" t="inlineStr">
        <is>
          <t>3635881</t>
        </is>
      </c>
      <c r="C67" t="inlineStr">
        <is>
          <t>Minh</t>
        </is>
      </c>
      <c r="D67" t="inlineStr">
        <is>
          <t>Nguyen</t>
        </is>
      </c>
      <c r="E67" t="inlineStr">
        <is>
          <t>Yes</t>
        </is>
      </c>
      <c r="F67" t="inlineStr">
        <is>
          <t>Yes</t>
        </is>
      </c>
      <c r="G67" t="inlineStr">
        <is>
          <t>122</t>
        </is>
      </c>
      <c r="H67" t="inlineStr">
        <is>
          <t>validated</t>
        </is>
      </c>
      <c r="I67" t="n">
        <v>0</v>
      </c>
      <c r="J67" t="inlineStr">
        <is>
          <t>Male</t>
        </is>
      </c>
      <c r="K67" t="inlineStr">
        <is>
          <t>2007-04-13</t>
        </is>
      </c>
      <c r="L67" t="n">
        <v>19</v>
      </c>
      <c r="M67" t="inlineStr">
        <is>
          <t>(657) 758-1102</t>
        </is>
      </c>
      <c r="N67" t="inlineStr">
        <is>
          <t>minhngyn07@gmail.com</t>
        </is>
      </c>
      <c r="O67" t="inlineStr"/>
      <c r="P67" t="inlineStr"/>
      <c r="Q67" t="inlineStr"/>
      <c r="R67" t="inlineStr"/>
      <c r="S67" t="inlineStr"/>
      <c r="T67" t="inlineStr"/>
      <c r="U67" t="inlineStr"/>
      <c r="V67">
        <f>HYPERLINK("https://chmeetings.blob.core.windows.net/846969/attachments/57qlraZWF0iXfi6BDk0Aw/944388fc-08b9-4ebf-9b0d-b4c91ec7c4a2.jpg", "https://chmeetings.blob.core.windows.net/846969/attachments/57qlraZWF0iXfi6BDk0Aw/944388fc-08b9-4ebf-9b0d-b4c91ec7c4a2.jpg")</f>
        <v/>
      </c>
      <c r="W67" t="inlineStr">
        <is>
          <t>2026-05-03 21:47:33</t>
        </is>
      </c>
    </row>
    <row r="68">
      <c r="A68" t="inlineStr">
        <is>
          <t>NHC</t>
        </is>
      </c>
      <c r="B68" t="inlineStr">
        <is>
          <t>3570849</t>
        </is>
      </c>
      <c r="C68" t="inlineStr">
        <is>
          <t>Faith</t>
        </is>
      </c>
      <c r="D68" t="inlineStr">
        <is>
          <t>Nguyen</t>
        </is>
      </c>
      <c r="E68" t="inlineStr">
        <is>
          <t>Yes</t>
        </is>
      </c>
      <c r="F68" t="inlineStr">
        <is>
          <t>Yes</t>
        </is>
      </c>
      <c r="G68" t="inlineStr">
        <is>
          <t>32</t>
        </is>
      </c>
      <c r="H68" t="inlineStr">
        <is>
          <t>validated</t>
        </is>
      </c>
      <c r="I68" t="n">
        <v>0</v>
      </c>
      <c r="J68" t="inlineStr">
        <is>
          <t>Female</t>
        </is>
      </c>
      <c r="K68" t="inlineStr">
        <is>
          <t>2004-11-30</t>
        </is>
      </c>
      <c r="L68" t="n">
        <v>21</v>
      </c>
      <c r="M68" t="inlineStr">
        <is>
          <t>(818) 364-1995</t>
        </is>
      </c>
      <c r="N68" t="inlineStr">
        <is>
          <t>faithdnguyen@gmail.com</t>
        </is>
      </c>
      <c r="O68" t="inlineStr"/>
      <c r="P68" t="inlineStr"/>
      <c r="Q68" t="inlineStr"/>
      <c r="R68" t="inlineStr"/>
      <c r="S68" t="inlineStr"/>
      <c r="T68" t="inlineStr"/>
      <c r="U68" t="inlineStr"/>
      <c r="V68">
        <f>HYPERLINK("https://chmeetings.blob.core.windows.net/846969/attachments/ImZkxkYEeJVq4IgCqawg/acea4bd7-c650-4527-8991-aa7a30072191.jpg", "https://chmeetings.blob.core.windows.net/846969/attachments/ImZkxkYEeJVq4IgCqawg/acea4bd7-c650-4527-8991-aa7a30072191.jpg")</f>
        <v/>
      </c>
      <c r="W68" t="inlineStr">
        <is>
          <t>2026-05-02 20:12:09</t>
        </is>
      </c>
    </row>
    <row r="69">
      <c r="A69" t="inlineStr">
        <is>
          <t>NHC</t>
        </is>
      </c>
      <c r="B69" t="inlineStr">
        <is>
          <t>3630107</t>
        </is>
      </c>
      <c r="C69" t="inlineStr">
        <is>
          <t>Nhi</t>
        </is>
      </c>
      <c r="D69" t="inlineStr">
        <is>
          <t>Nguyen</t>
        </is>
      </c>
      <c r="E69" t="inlineStr">
        <is>
          <t>Yes</t>
        </is>
      </c>
      <c r="F69" t="inlineStr">
        <is>
          <t>Yes</t>
        </is>
      </c>
      <c r="G69" t="inlineStr">
        <is>
          <t>33</t>
        </is>
      </c>
      <c r="H69" t="inlineStr">
        <is>
          <t>validated</t>
        </is>
      </c>
      <c r="I69" t="n">
        <v>0</v>
      </c>
      <c r="J69" t="inlineStr">
        <is>
          <t>Female</t>
        </is>
      </c>
      <c r="K69" t="inlineStr">
        <is>
          <t>2004-03-09</t>
        </is>
      </c>
      <c r="L69" t="n">
        <v>22</v>
      </c>
      <c r="M69" t="inlineStr">
        <is>
          <t>(818) 205-6576</t>
        </is>
      </c>
      <c r="N69" t="inlineStr">
        <is>
          <t>nhikneenguyen@gmail.com</t>
        </is>
      </c>
      <c r="O69" t="inlineStr"/>
      <c r="P69" t="inlineStr"/>
      <c r="Q69" t="inlineStr"/>
      <c r="R69" t="inlineStr"/>
      <c r="S69" t="inlineStr"/>
      <c r="T69" t="inlineStr"/>
      <c r="U69" t="inlineStr"/>
      <c r="V69">
        <f>HYPERLINK("https://chmeetings.blob.core.windows.net/846969/attachments/B2AeM61EiaenvZFE5GJA/7474f516-6576-427d-817f-9e334bd24a36.jpg", "https://chmeetings.blob.core.windows.net/846969/attachments/B2AeM61EiaenvZFE5GJA/7474f516-6576-427d-817f-9e334bd24a36.jpg")</f>
        <v/>
      </c>
      <c r="W69" t="inlineStr">
        <is>
          <t>2026-05-02 20:08:50</t>
        </is>
      </c>
    </row>
    <row r="70">
      <c r="A70" t="inlineStr">
        <is>
          <t>NHC</t>
        </is>
      </c>
      <c r="B70" t="inlineStr">
        <is>
          <t>4361931</t>
        </is>
      </c>
      <c r="C70" t="inlineStr">
        <is>
          <t>Trinity</t>
        </is>
      </c>
      <c r="D70" t="inlineStr">
        <is>
          <t>Nguyen</t>
        </is>
      </c>
      <c r="E70" t="inlineStr">
        <is>
          <t>Yes</t>
        </is>
      </c>
      <c r="F70" t="inlineStr">
        <is>
          <t>Yes</t>
        </is>
      </c>
      <c r="G70" t="inlineStr">
        <is>
          <t>34</t>
        </is>
      </c>
      <c r="H70" t="inlineStr">
        <is>
          <t>validated</t>
        </is>
      </c>
      <c r="I70" t="n">
        <v>0</v>
      </c>
      <c r="J70" t="inlineStr">
        <is>
          <t>Female</t>
        </is>
      </c>
      <c r="K70" t="inlineStr">
        <is>
          <t>2006-08-19</t>
        </is>
      </c>
      <c r="L70" t="n">
        <v>19</v>
      </c>
      <c r="M70" t="inlineStr">
        <is>
          <t>(818) 521-0702</t>
        </is>
      </c>
      <c r="N70" t="inlineStr">
        <is>
          <t>trinitynguyen819@gmail.com</t>
        </is>
      </c>
      <c r="O70" t="inlineStr"/>
      <c r="P70" t="inlineStr"/>
      <c r="Q70" t="inlineStr"/>
      <c r="R70" t="inlineStr"/>
      <c r="S70" t="inlineStr"/>
      <c r="T70" t="inlineStr"/>
      <c r="U70" t="inlineStr"/>
      <c r="V70">
        <f>HYPERLINK("https://chmeetings.blob.core.windows.net/846969/attachments/F4w3vSczI06e8w0dsmofYA/e9ff8cac-4f75-4fdf-9684-72ad97ca13f2.jpg", "https://chmeetings.blob.core.windows.net/846969/attachments/F4w3vSczI06e8w0dsmofYA/e9ff8cac-4f75-4fdf-9684-72ad97ca13f2.jpg")</f>
        <v/>
      </c>
      <c r="W70" t="inlineStr">
        <is>
          <t>2026-05-02 19:51:56</t>
        </is>
      </c>
    </row>
    <row r="71">
      <c r="A71" t="inlineStr">
        <is>
          <t>OCB</t>
        </is>
      </c>
      <c r="B71" t="inlineStr">
        <is>
          <t>3635883</t>
        </is>
      </c>
      <c r="C71" t="inlineStr">
        <is>
          <t>Henry</t>
        </is>
      </c>
      <c r="D71" t="inlineStr">
        <is>
          <t>Nguyen</t>
        </is>
      </c>
      <c r="E71" t="inlineStr">
        <is>
          <t>Yes</t>
        </is>
      </c>
      <c r="F71" t="inlineStr">
        <is>
          <t>Yes</t>
        </is>
      </c>
      <c r="G71" t="inlineStr">
        <is>
          <t>129</t>
        </is>
      </c>
      <c r="H71" t="inlineStr">
        <is>
          <t>validated</t>
        </is>
      </c>
      <c r="I71" t="n">
        <v>0</v>
      </c>
      <c r="J71" t="inlineStr">
        <is>
          <t>Male</t>
        </is>
      </c>
      <c r="K71" t="inlineStr">
        <is>
          <t>2000-09-22</t>
        </is>
      </c>
      <c r="L71" t="n">
        <v>25</v>
      </c>
      <c r="M71" t="inlineStr">
        <is>
          <t>(714) 975-0037</t>
        </is>
      </c>
      <c r="N71" t="inlineStr">
        <is>
          <t>Henrynguyen600@gmail.com</t>
        </is>
      </c>
      <c r="O71" t="inlineStr"/>
      <c r="P71" t="inlineStr"/>
      <c r="Q71" t="inlineStr"/>
      <c r="R71" t="inlineStr"/>
      <c r="S71" t="inlineStr"/>
      <c r="T71" t="inlineStr"/>
      <c r="U71" t="inlineStr"/>
      <c r="V71">
        <f>HYPERLINK("https://chmeetings.blob.core.windows.net/846969/attachments/YsOBYBV0q0OlqZ15fv698g/6b2979fd-e678-4960-90b4-480f52cec039.jpg", "https://chmeetings.blob.core.windows.net/846969/attachments/YsOBYBV0q0OlqZ15fv698g/6b2979fd-e678-4960-90b4-480f52cec039.jpg")</f>
        <v/>
      </c>
      <c r="W71" t="inlineStr">
        <is>
          <t>2026-05-03 22:05:30</t>
        </is>
      </c>
    </row>
    <row r="72">
      <c r="A72" t="inlineStr">
        <is>
          <t>OCB</t>
        </is>
      </c>
      <c r="B72" t="inlineStr">
        <is>
          <t>4363703</t>
        </is>
      </c>
      <c r="C72" t="inlineStr">
        <is>
          <t>Tim</t>
        </is>
      </c>
      <c r="D72" t="inlineStr">
        <is>
          <t>Nguyen</t>
        </is>
      </c>
      <c r="E72" t="inlineStr">
        <is>
          <t>Yes</t>
        </is>
      </c>
      <c r="F72" t="inlineStr">
        <is>
          <t>Yes</t>
        </is>
      </c>
      <c r="G72" t="inlineStr">
        <is>
          <t>131</t>
        </is>
      </c>
      <c r="H72" t="inlineStr">
        <is>
          <t>validated</t>
        </is>
      </c>
      <c r="I72" t="n">
        <v>0</v>
      </c>
      <c r="J72" t="inlineStr">
        <is>
          <t>Male</t>
        </is>
      </c>
      <c r="K72" t="inlineStr">
        <is>
          <t>1992-05-21</t>
        </is>
      </c>
      <c r="L72" t="n">
        <v>34</v>
      </c>
      <c r="M72" t="inlineStr">
        <is>
          <t>(714) 837-9071</t>
        </is>
      </c>
      <c r="N72" t="inlineStr">
        <is>
          <t>timnguy3n92@gmail.com</t>
        </is>
      </c>
      <c r="O72" t="inlineStr"/>
      <c r="P72" t="inlineStr"/>
      <c r="Q72" t="inlineStr"/>
      <c r="R72" t="inlineStr"/>
      <c r="S72" t="inlineStr"/>
      <c r="T72" t="inlineStr"/>
      <c r="U72" t="inlineStr"/>
      <c r="V72">
        <f>HYPERLINK("https://chmeetings.blob.core.windows.net/846969/attachments/EigWUMvqekGE2PheSEoGA/88f80066-edee-461c-9027-925435a96465.jpg", "https://chmeetings.blob.core.windows.net/846969/attachments/EigWUMvqekGE2PheSEoGA/88f80066-edee-461c-9027-925435a96465.jpg")</f>
        <v/>
      </c>
      <c r="W72" t="inlineStr">
        <is>
          <t>2026-05-03 22:06:49</t>
        </is>
      </c>
    </row>
    <row r="73">
      <c r="A73" t="inlineStr">
        <is>
          <t>OCB</t>
        </is>
      </c>
      <c r="B73" t="inlineStr">
        <is>
          <t>3636635</t>
        </is>
      </c>
      <c r="C73" t="inlineStr">
        <is>
          <t>Aaron</t>
        </is>
      </c>
      <c r="D73" t="inlineStr">
        <is>
          <t>Rivera</t>
        </is>
      </c>
      <c r="E73" t="inlineStr">
        <is>
          <t>Yes</t>
        </is>
      </c>
      <c r="F73" t="inlineStr">
        <is>
          <t>Yes</t>
        </is>
      </c>
      <c r="G73" t="inlineStr">
        <is>
          <t>128</t>
        </is>
      </c>
      <c r="H73" t="inlineStr">
        <is>
          <t>validated</t>
        </is>
      </c>
      <c r="I73" t="n">
        <v>0</v>
      </c>
      <c r="J73" t="inlineStr">
        <is>
          <t>Male</t>
        </is>
      </c>
      <c r="K73" t="inlineStr">
        <is>
          <t>2007-10-03</t>
        </is>
      </c>
      <c r="L73" t="n">
        <v>18</v>
      </c>
      <c r="M73" t="inlineStr">
        <is>
          <t>(714) 724-9928</t>
        </is>
      </c>
      <c r="N73" t="inlineStr">
        <is>
          <t>rivera.aaroncal@gmail.com</t>
        </is>
      </c>
      <c r="O73" t="inlineStr"/>
      <c r="P73" t="inlineStr"/>
      <c r="Q73" t="inlineStr"/>
      <c r="R73" t="inlineStr"/>
      <c r="S73" t="inlineStr"/>
      <c r="T73" t="inlineStr"/>
      <c r="U73" t="inlineStr"/>
      <c r="V73">
        <f>HYPERLINK("https://chmeetings.blob.core.windows.net/846969/attachments/PHv7q7eqB0acQ6YgdARw9w/0ce255e9-5e3c-41e3-ad0f-edad75922343.jpg", "https://chmeetings.blob.core.windows.net/846969/attachments/PHv7q7eqB0acQ6YgdARw9w/0ce255e9-5e3c-41e3-ad0f-edad75922343.jpg")</f>
        <v/>
      </c>
      <c r="W73" t="inlineStr">
        <is>
          <t>2026-05-03 22:05:14</t>
        </is>
      </c>
    </row>
    <row r="74">
      <c r="A74" t="inlineStr">
        <is>
          <t>OCB</t>
        </is>
      </c>
      <c r="B74" t="inlineStr">
        <is>
          <t>3635919</t>
        </is>
      </c>
      <c r="C74" t="inlineStr">
        <is>
          <t>Jack</t>
        </is>
      </c>
      <c r="D74" t="inlineStr">
        <is>
          <t>Rivera</t>
        </is>
      </c>
      <c r="E74" t="inlineStr">
        <is>
          <t>Yes</t>
        </is>
      </c>
      <c r="F74" t="inlineStr">
        <is>
          <t>Yes</t>
        </is>
      </c>
      <c r="G74" t="inlineStr">
        <is>
          <t>130</t>
        </is>
      </c>
      <c r="H74" t="inlineStr">
        <is>
          <t>validated</t>
        </is>
      </c>
      <c r="I74" t="n">
        <v>0</v>
      </c>
      <c r="J74" t="inlineStr">
        <is>
          <t>Male</t>
        </is>
      </c>
      <c r="K74" t="inlineStr">
        <is>
          <t>2006-04-27</t>
        </is>
      </c>
      <c r="L74" t="n">
        <v>20</v>
      </c>
      <c r="M74" t="inlineStr">
        <is>
          <t>(714) 234-7973</t>
        </is>
      </c>
      <c r="N74" t="inlineStr">
        <is>
          <t>jack.rivera0427@gmail.com</t>
        </is>
      </c>
      <c r="O74" t="inlineStr"/>
      <c r="P74" t="inlineStr"/>
      <c r="Q74" t="inlineStr"/>
      <c r="R74" t="inlineStr"/>
      <c r="S74" t="inlineStr"/>
      <c r="T74" t="inlineStr"/>
      <c r="U74" t="inlineStr"/>
      <c r="V74">
        <f>HYPERLINK("https://chmeetings.blob.core.windows.net/846969/attachments/sIqShIAxUS1oysyKko75A/75ceb615-5536-4313-99df-341fc9681c38.jpg", "https://chmeetings.blob.core.windows.net/846969/attachments/sIqShIAxUS1oysyKko75A/75ceb615-5536-4313-99df-341fc9681c38.jpg")</f>
        <v/>
      </c>
      <c r="W74" t="inlineStr">
        <is>
          <t>2026-05-03 22:05:41</t>
        </is>
      </c>
    </row>
    <row r="75">
      <c r="A75" t="inlineStr">
        <is>
          <t>ORN</t>
        </is>
      </c>
      <c r="B75" t="inlineStr">
        <is>
          <t>3623915</t>
        </is>
      </c>
      <c r="C75" t="inlineStr">
        <is>
          <t>Jason</t>
        </is>
      </c>
      <c r="D75" t="inlineStr">
        <is>
          <t>Djapri</t>
        </is>
      </c>
      <c r="E75" t="inlineStr">
        <is>
          <t>Yes</t>
        </is>
      </c>
      <c r="F75" t="inlineStr">
        <is>
          <t>Yes</t>
        </is>
      </c>
      <c r="G75" t="inlineStr">
        <is>
          <t>14</t>
        </is>
      </c>
      <c r="H75" t="inlineStr">
        <is>
          <t>validated</t>
        </is>
      </c>
      <c r="I75" t="n">
        <v>0</v>
      </c>
      <c r="J75" t="inlineStr">
        <is>
          <t>Male</t>
        </is>
      </c>
      <c r="K75" t="inlineStr">
        <is>
          <t>1994-06-09</t>
        </is>
      </c>
      <c r="L75" t="n">
        <v>32</v>
      </c>
      <c r="M75" t="inlineStr">
        <is>
          <t>(310) 422-6128</t>
        </is>
      </c>
      <c r="N75" t="inlineStr">
        <is>
          <t>djaprijason@yahoo.com</t>
        </is>
      </c>
      <c r="O75" t="inlineStr"/>
      <c r="P75" t="inlineStr"/>
      <c r="Q75" t="inlineStr"/>
      <c r="R75" t="inlineStr"/>
      <c r="S75" t="inlineStr"/>
      <c r="T75" t="inlineStr"/>
      <c r="U75" t="inlineStr"/>
      <c r="V75">
        <f>HYPERLINK("https://chmeetings.blob.core.windows.net/846969/attachments/RDfjAEN4WE6KJSSC92ZKCg/f27465ca-e92d-4ab4-9ea2-547cf465ba89.jpg", "https://chmeetings.blob.core.windows.net/846969/attachments/RDfjAEN4WE6KJSSC92ZKCg/f27465ca-e92d-4ab4-9ea2-547cf465ba89.jpg")</f>
        <v/>
      </c>
      <c r="W75" t="inlineStr">
        <is>
          <t>2026-05-02 19:59:46</t>
        </is>
      </c>
    </row>
    <row r="76">
      <c r="A76" t="inlineStr">
        <is>
          <t>ORN</t>
        </is>
      </c>
      <c r="B76" t="inlineStr">
        <is>
          <t>3623157</t>
        </is>
      </c>
      <c r="C76" t="inlineStr">
        <is>
          <t>Johnny</t>
        </is>
      </c>
      <c r="D76" t="inlineStr">
        <is>
          <t>Ho</t>
        </is>
      </c>
      <c r="E76" t="inlineStr">
        <is>
          <t>Yes</t>
        </is>
      </c>
      <c r="F76" t="inlineStr">
        <is>
          <t>Yes</t>
        </is>
      </c>
      <c r="G76" t="inlineStr">
        <is>
          <t>79</t>
        </is>
      </c>
      <c r="H76" t="inlineStr">
        <is>
          <t>validated</t>
        </is>
      </c>
      <c r="I76" t="n">
        <v>0</v>
      </c>
      <c r="J76" t="inlineStr">
        <is>
          <t>Male</t>
        </is>
      </c>
      <c r="K76" t="inlineStr">
        <is>
          <t>2008-01-04</t>
        </is>
      </c>
      <c r="L76" t="n">
        <v>18</v>
      </c>
      <c r="M76" t="inlineStr">
        <is>
          <t>(951) 573-3752</t>
        </is>
      </c>
      <c r="N76" t="inlineStr">
        <is>
          <t>hodoanhongquan2024@gmail.com</t>
        </is>
      </c>
      <c r="O76" t="inlineStr"/>
      <c r="P76" t="inlineStr"/>
      <c r="Q76" t="inlineStr"/>
      <c r="R76" t="inlineStr"/>
      <c r="S76" t="inlineStr"/>
      <c r="T76" t="inlineStr"/>
      <c r="U76" t="inlineStr"/>
      <c r="V76">
        <f>HYPERLINK("https://chmeetings.blob.core.windows.net/846969/attachments/HzlweDuVSE6PkzH7lPPQ/b05978ca-bb0d-4025-8e8b-e4bcb1a862e7.jpg", "https://chmeetings.blob.core.windows.net/846969/attachments/HzlweDuVSE6PkzH7lPPQ/b05978ca-bb0d-4025-8e8b-e4bcb1a862e7.jpg")</f>
        <v/>
      </c>
      <c r="W76" t="inlineStr">
        <is>
          <t>2026-05-03 22:01:06</t>
        </is>
      </c>
    </row>
    <row r="77">
      <c r="A77" t="inlineStr">
        <is>
          <t>ORN</t>
        </is>
      </c>
      <c r="B77" t="inlineStr">
        <is>
          <t>3636312</t>
        </is>
      </c>
      <c r="C77" t="inlineStr">
        <is>
          <t>Patrick</t>
        </is>
      </c>
      <c r="D77" t="inlineStr">
        <is>
          <t>Ho</t>
        </is>
      </c>
      <c r="E77" t="inlineStr">
        <is>
          <t>Yes</t>
        </is>
      </c>
      <c r="F77" t="inlineStr">
        <is>
          <t>Yes</t>
        </is>
      </c>
      <c r="G77" t="inlineStr">
        <is>
          <t>18</t>
        </is>
      </c>
      <c r="H77" t="inlineStr">
        <is>
          <t>validated</t>
        </is>
      </c>
      <c r="I77" t="n">
        <v>0</v>
      </c>
      <c r="J77" t="inlineStr">
        <is>
          <t>Male</t>
        </is>
      </c>
      <c r="K77" t="inlineStr">
        <is>
          <t>2006-07-11</t>
        </is>
      </c>
      <c r="L77" t="n">
        <v>20</v>
      </c>
      <c r="M77" t="inlineStr">
        <is>
          <t>(840) 265-5989</t>
        </is>
      </c>
      <c r="N77" t="inlineStr">
        <is>
          <t>quangforwork105@gmail.com</t>
        </is>
      </c>
      <c r="O77" t="inlineStr"/>
      <c r="P77" t="inlineStr"/>
      <c r="Q77" t="inlineStr"/>
      <c r="R77" t="inlineStr"/>
      <c r="S77" t="inlineStr"/>
      <c r="T77" t="inlineStr"/>
      <c r="U77" t="inlineStr"/>
      <c r="V77">
        <f>HYPERLINK("https://chmeetings.blob.core.windows.net/846969/attachments/rmWCxWcMEGG5rXmhOlu0w/0885f487-e712-429a-b0e2-a388a96de779.jpg", "https://chmeetings.blob.core.windows.net/846969/attachments/rmWCxWcMEGG5rXmhOlu0w/0885f487-e712-429a-b0e2-a388a96de779.jpg")</f>
        <v/>
      </c>
      <c r="W77" t="inlineStr">
        <is>
          <t>2026-05-02 20:14:08</t>
        </is>
      </c>
    </row>
    <row r="78">
      <c r="A78" t="inlineStr">
        <is>
          <t>ORN</t>
        </is>
      </c>
      <c r="B78" t="inlineStr">
        <is>
          <t>3635913</t>
        </is>
      </c>
      <c r="C78" t="inlineStr">
        <is>
          <t>Naomi</t>
        </is>
      </c>
      <c r="D78" t="inlineStr">
        <is>
          <t>Le</t>
        </is>
      </c>
      <c r="E78" t="inlineStr">
        <is>
          <t>Yes</t>
        </is>
      </c>
      <c r="F78" t="inlineStr">
        <is>
          <t>Yes</t>
        </is>
      </c>
      <c r="G78" t="inlineStr">
        <is>
          <t>17</t>
        </is>
      </c>
      <c r="H78" t="inlineStr">
        <is>
          <t>validated</t>
        </is>
      </c>
      <c r="I78" t="n">
        <v>0</v>
      </c>
      <c r="J78" t="inlineStr">
        <is>
          <t>Female</t>
        </is>
      </c>
      <c r="K78" t="inlineStr">
        <is>
          <t>2008-04-29</t>
        </is>
      </c>
      <c r="L78" t="n">
        <v>18</v>
      </c>
      <c r="M78" t="inlineStr">
        <is>
          <t>(951) 474-9992</t>
        </is>
      </c>
      <c r="N78" t="inlineStr">
        <is>
          <t>naomithienngocle@gmail.com</t>
        </is>
      </c>
      <c r="O78" t="inlineStr"/>
      <c r="P78" t="inlineStr"/>
      <c r="Q78" t="inlineStr"/>
      <c r="R78" t="inlineStr"/>
      <c r="S78" t="inlineStr"/>
      <c r="T78" t="inlineStr"/>
      <c r="U78" t="inlineStr"/>
      <c r="V78">
        <f>HYPERLINK("https://chmeetings.blob.core.windows.net/846969/attachments/Mul7jbKbAE29qrSeitsaQ/70858581-18a8-4d38-a34b-36f27970e10b.jpg", "https://chmeetings.blob.core.windows.net/846969/attachments/Mul7jbKbAE29qrSeitsaQ/70858581-18a8-4d38-a34b-36f27970e10b.jpg")</f>
        <v/>
      </c>
      <c r="W78" t="inlineStr">
        <is>
          <t>2026-05-02 20:14:44</t>
        </is>
      </c>
    </row>
    <row r="79">
      <c r="A79" t="inlineStr">
        <is>
          <t>ORN</t>
        </is>
      </c>
      <c r="B79" t="inlineStr">
        <is>
          <t>3618799</t>
        </is>
      </c>
      <c r="C79" t="inlineStr">
        <is>
          <t>Benjamin</t>
        </is>
      </c>
      <c r="D79" t="inlineStr">
        <is>
          <t>Nguyen</t>
        </is>
      </c>
      <c r="E79" t="inlineStr">
        <is>
          <t>Yes</t>
        </is>
      </c>
      <c r="F79" t="inlineStr">
        <is>
          <t>Yes</t>
        </is>
      </c>
      <c r="G79" t="inlineStr">
        <is>
          <t>13</t>
        </is>
      </c>
      <c r="H79" t="inlineStr">
        <is>
          <t>validated</t>
        </is>
      </c>
      <c r="I79" t="n">
        <v>0</v>
      </c>
      <c r="J79" t="inlineStr">
        <is>
          <t>Male</t>
        </is>
      </c>
      <c r="K79" t="inlineStr">
        <is>
          <t>2002-02-05</t>
        </is>
      </c>
      <c r="L79" t="n">
        <v>24</v>
      </c>
      <c r="M79" t="inlineStr">
        <is>
          <t>(714) 833-6740</t>
        </is>
      </c>
      <c r="N79" t="inlineStr">
        <is>
          <t>Benjinguyen02@gmail.com</t>
        </is>
      </c>
      <c r="O79" t="inlineStr"/>
      <c r="P79" t="inlineStr"/>
      <c r="Q79" t="inlineStr"/>
      <c r="R79" t="inlineStr"/>
      <c r="S79" t="inlineStr"/>
      <c r="T79" t="inlineStr"/>
      <c r="U79" t="inlineStr"/>
      <c r="V79">
        <f>HYPERLINK("https://chmeetings.blob.core.windows.net/846969/attachments/qbqvDQkHBEucuVEztvSrzw/56dc6343-e74d-4af7-adbe-37f226c0bbfc.jpg", "https://chmeetings.blob.core.windows.net/846969/attachments/qbqvDQkHBEucuVEztvSrzw/56dc6343-e74d-4af7-adbe-37f226c0bbfc.jpg")</f>
        <v/>
      </c>
      <c r="W79" t="inlineStr">
        <is>
          <t>2026-05-02 20:13:37</t>
        </is>
      </c>
    </row>
    <row r="80">
      <c r="A80" t="inlineStr">
        <is>
          <t>ORN</t>
        </is>
      </c>
      <c r="B80" t="inlineStr">
        <is>
          <t>3505206</t>
        </is>
      </c>
      <c r="C80" t="inlineStr">
        <is>
          <t>Matthew</t>
        </is>
      </c>
      <c r="D80" t="inlineStr">
        <is>
          <t>Nguyen</t>
        </is>
      </c>
      <c r="E80" t="inlineStr">
        <is>
          <t>Yes</t>
        </is>
      </c>
      <c r="F80" t="inlineStr">
        <is>
          <t>Yes</t>
        </is>
      </c>
      <c r="G80" t="inlineStr">
        <is>
          <t>16</t>
        </is>
      </c>
      <c r="H80" t="inlineStr">
        <is>
          <t>validated</t>
        </is>
      </c>
      <c r="I80" t="n">
        <v>0</v>
      </c>
      <c r="J80" t="inlineStr">
        <is>
          <t>Male</t>
        </is>
      </c>
      <c r="K80" t="inlineStr">
        <is>
          <t>1995-07-02</t>
        </is>
      </c>
      <c r="L80" t="n">
        <v>31</v>
      </c>
      <c r="M80" t="inlineStr">
        <is>
          <t>(714) 391-5045</t>
        </is>
      </c>
      <c r="N80" t="inlineStr">
        <is>
          <t>matthewlan1995@yahoo.com</t>
        </is>
      </c>
      <c r="O80" t="inlineStr"/>
      <c r="P80" t="inlineStr"/>
      <c r="Q80" t="inlineStr"/>
      <c r="R80" t="inlineStr"/>
      <c r="S80" t="inlineStr"/>
      <c r="T80" t="inlineStr"/>
      <c r="U80" t="inlineStr"/>
      <c r="V80">
        <f>HYPERLINK("https://chmeetings.blob.core.windows.net/846969/attachments/3veswZCVtEs6fg25uiOYg/14d4ef4d-d959-4d64-ae0d-e552b50141f9.jpg", "https://chmeetings.blob.core.windows.net/846969/attachments/3veswZCVtEs6fg25uiOYg/14d4ef4d-d959-4d64-ae0d-e552b50141f9.jpg")</f>
        <v/>
      </c>
      <c r="W80" t="inlineStr">
        <is>
          <t>2026-05-02 20:13:22</t>
        </is>
      </c>
    </row>
    <row r="81">
      <c r="A81" t="inlineStr">
        <is>
          <t>ORN</t>
        </is>
      </c>
      <c r="B81" t="inlineStr">
        <is>
          <t>4363697</t>
        </is>
      </c>
      <c r="C81" t="inlineStr">
        <is>
          <t>Dat</t>
        </is>
      </c>
      <c r="D81" t="inlineStr">
        <is>
          <t>Pham</t>
        </is>
      </c>
      <c r="E81" t="inlineStr">
        <is>
          <t>Yes</t>
        </is>
      </c>
      <c r="F81" t="inlineStr">
        <is>
          <t>Yes</t>
        </is>
      </c>
      <c r="G81" t="inlineStr">
        <is>
          <t>78</t>
        </is>
      </c>
      <c r="H81" t="inlineStr">
        <is>
          <t>validated</t>
        </is>
      </c>
      <c r="I81" t="n">
        <v>0</v>
      </c>
      <c r="J81" t="inlineStr">
        <is>
          <t>Male</t>
        </is>
      </c>
      <c r="K81" t="inlineStr">
        <is>
          <t>2004-10-16</t>
        </is>
      </c>
      <c r="L81" t="n">
        <v>21</v>
      </c>
      <c r="M81" t="inlineStr">
        <is>
          <t>(951) 892-9984</t>
        </is>
      </c>
      <c r="N81" t="inlineStr">
        <is>
          <t>truongdatpham@gmail.com</t>
        </is>
      </c>
      <c r="O81" t="inlineStr"/>
      <c r="P81" t="inlineStr"/>
      <c r="Q81" t="inlineStr"/>
      <c r="R81" t="inlineStr"/>
      <c r="S81" t="inlineStr"/>
      <c r="T81" t="inlineStr"/>
      <c r="U81" t="inlineStr"/>
      <c r="V81">
        <f>HYPERLINK("https://chmeetings.blob.core.windows.net/846969/attachments/askB42UIkkCVV68lGcOo2A/f5e4634d-a461-4e22-82cb-04c4294c2071.jpg", "https://chmeetings.blob.core.windows.net/846969/attachments/askB42UIkkCVV68lGcOo2A/f5e4634d-a461-4e22-82cb-04c4294c2071.jpg")</f>
        <v/>
      </c>
      <c r="W81" t="inlineStr">
        <is>
          <t>2026-05-03 21:59:15</t>
        </is>
      </c>
    </row>
    <row r="82">
      <c r="A82" t="inlineStr">
        <is>
          <t>ORN</t>
        </is>
      </c>
      <c r="B82" t="inlineStr">
        <is>
          <t>3623151</t>
        </is>
      </c>
      <c r="C82" t="inlineStr">
        <is>
          <t>Luke</t>
        </is>
      </c>
      <c r="D82" t="inlineStr">
        <is>
          <t>Tran</t>
        </is>
      </c>
      <c r="E82" t="inlineStr">
        <is>
          <t>Yes</t>
        </is>
      </c>
      <c r="F82" t="inlineStr">
        <is>
          <t>Yes</t>
        </is>
      </c>
      <c r="G82" t="inlineStr">
        <is>
          <t>15</t>
        </is>
      </c>
      <c r="H82" t="inlineStr">
        <is>
          <t>validated</t>
        </is>
      </c>
      <c r="I82" t="n">
        <v>0</v>
      </c>
      <c r="J82" t="inlineStr">
        <is>
          <t>Male</t>
        </is>
      </c>
      <c r="K82" t="inlineStr">
        <is>
          <t>2006-08-15</t>
        </is>
      </c>
      <c r="L82" t="n">
        <v>19</v>
      </c>
      <c r="M82" t="inlineStr">
        <is>
          <t>(714) 696-2217</t>
        </is>
      </c>
      <c r="N82" t="inlineStr">
        <is>
          <t>ltttran01@gmail.com</t>
        </is>
      </c>
      <c r="O82" t="inlineStr"/>
      <c r="P82" t="inlineStr"/>
      <c r="Q82" t="inlineStr"/>
      <c r="R82" t="inlineStr"/>
      <c r="S82" t="inlineStr"/>
      <c r="T82" t="inlineStr"/>
      <c r="U82" t="inlineStr"/>
      <c r="V82">
        <f>HYPERLINK("https://chmeetings.blob.core.windows.net/846969/attachments/z7xCROYqU640Hcj39vXnA/7df9ecde-a535-47b7-b28e-c4595f88700e.jpg", "https://chmeetings.blob.core.windows.net/846969/attachments/z7xCROYqU640Hcj39vXnA/7df9ecde-a535-47b7-b28e-c4595f88700e.jpg")</f>
        <v/>
      </c>
      <c r="W82" t="inlineStr">
        <is>
          <t>2026-05-02 20:37:50</t>
        </is>
      </c>
    </row>
    <row r="83">
      <c r="A83" t="inlineStr">
        <is>
          <t>PCC</t>
        </is>
      </c>
      <c r="B83" t="inlineStr">
        <is>
          <t>3615928</t>
        </is>
      </c>
      <c r="C83" t="inlineStr">
        <is>
          <t>Aimy</t>
        </is>
      </c>
      <c r="D83" t="inlineStr">
        <is>
          <t>Thach</t>
        </is>
      </c>
      <c r="E83" t="inlineStr">
        <is>
          <t>Yes</t>
        </is>
      </c>
      <c r="F83" t="inlineStr">
        <is>
          <t>Yes</t>
        </is>
      </c>
      <c r="G83" t="inlineStr">
        <is>
          <t>98</t>
        </is>
      </c>
      <c r="H83" t="inlineStr">
        <is>
          <t>pending</t>
        </is>
      </c>
      <c r="I83" t="n">
        <v>3</v>
      </c>
      <c r="J83" t="inlineStr">
        <is>
          <t>Female</t>
        </is>
      </c>
      <c r="K83" t="inlineStr">
        <is>
          <t>2026-05-03</t>
        </is>
      </c>
      <c r="L83" t="n">
        <v>0</v>
      </c>
      <c r="M83" t="inlineStr">
        <is>
          <t>(619) 832-2469</t>
        </is>
      </c>
      <c r="N83" t="inlineStr">
        <is>
          <t>aimythach2008@gmail.com</t>
        </is>
      </c>
      <c r="O83" t="inlineStr">
        <is>
          <t>Age 0 is below minimum age 13 for Volleyball</t>
        </is>
      </c>
      <c r="P83" t="inlineStr"/>
      <c r="Q83" t="inlineStr"/>
      <c r="R83" t="inlineStr"/>
      <c r="S83" t="inlineStr"/>
      <c r="T83" t="inlineStr"/>
      <c r="U83" t="inlineStr"/>
      <c r="V83">
        <f>HYPERLINK("https://chmeetings.blob.core.windows.net/846969/attachments/yr8GQWRkaMhXEt644AUA/cc58517d-7f6e-43e7-b6eb-9441856782fb.jpg", "https://chmeetings.blob.core.windows.net/846969/attachments/yr8GQWRkaMhXEt644AUA/cc58517d-7f6e-43e7-b6eb-9441856782fb.jpg")</f>
        <v/>
      </c>
      <c r="W83" t="inlineStr">
        <is>
          <t>2026-05-03 21:55:36</t>
        </is>
      </c>
    </row>
    <row r="84">
      <c r="A84" t="inlineStr">
        <is>
          <t>PCC</t>
        </is>
      </c>
      <c r="B84" t="inlineStr">
        <is>
          <t>3610930</t>
        </is>
      </c>
      <c r="C84" t="inlineStr">
        <is>
          <t>Daisey</t>
        </is>
      </c>
      <c r="D84" t="inlineStr">
        <is>
          <t>Phan</t>
        </is>
      </c>
      <c r="E84" t="inlineStr">
        <is>
          <t>Yes</t>
        </is>
      </c>
      <c r="F84" t="inlineStr">
        <is>
          <t>Yes</t>
        </is>
      </c>
      <c r="G84" t="inlineStr">
        <is>
          <t>94</t>
        </is>
      </c>
      <c r="H84" t="inlineStr">
        <is>
          <t>pending</t>
        </is>
      </c>
      <c r="I84" t="n">
        <v>1</v>
      </c>
      <c r="J84" t="inlineStr">
        <is>
          <t>Female</t>
        </is>
      </c>
      <c r="K84" t="inlineStr">
        <is>
          <t>2009-12-14</t>
        </is>
      </c>
      <c r="L84" t="n">
        <v>16</v>
      </c>
      <c r="M84" t="inlineStr">
        <is>
          <t>(619) 227-8965</t>
        </is>
      </c>
      <c r="N84" t="inlineStr">
        <is>
          <t>daiseyphan441@gmail.com</t>
        </is>
      </c>
      <c r="O84" t="inlineStr">
        <is>
          <t>Consent form status unknown or not provided</t>
        </is>
      </c>
      <c r="P84" t="inlineStr"/>
      <c r="Q84" t="inlineStr"/>
      <c r="R84" t="inlineStr"/>
      <c r="S84" t="inlineStr"/>
      <c r="T84" t="inlineStr"/>
      <c r="U84" t="inlineStr"/>
      <c r="V84">
        <f>HYPERLINK("https://chmeetings.blob.core.windows.net/846969/attachments/0334zPheP0iaYDfGUyBQ2A/484ab1fa-b9eb-4695-9798-897b62cb6b4f.jpg", "https://chmeetings.blob.core.windows.net/846969/attachments/0334zPheP0iaYDfGUyBQ2A/484ab1fa-b9eb-4695-9798-897b62cb6b4f.jpg")</f>
        <v/>
      </c>
      <c r="W84" t="inlineStr">
        <is>
          <t>2026-05-03 21:53:38</t>
        </is>
      </c>
    </row>
    <row r="85">
      <c r="A85" t="inlineStr">
        <is>
          <t>PCC</t>
        </is>
      </c>
      <c r="B85" t="inlineStr">
        <is>
          <t>3615923</t>
        </is>
      </c>
      <c r="C85" t="inlineStr">
        <is>
          <t>Cammy</t>
        </is>
      </c>
      <c r="D85" t="inlineStr">
        <is>
          <t>Thach</t>
        </is>
      </c>
      <c r="E85" t="inlineStr">
        <is>
          <t>Yes</t>
        </is>
      </c>
      <c r="F85" t="inlineStr">
        <is>
          <t>Yes</t>
        </is>
      </c>
      <c r="G85" t="inlineStr">
        <is>
          <t>95</t>
        </is>
      </c>
      <c r="H85" t="inlineStr">
        <is>
          <t>pending</t>
        </is>
      </c>
      <c r="I85" t="n">
        <v>1</v>
      </c>
      <c r="J85" t="inlineStr">
        <is>
          <t>Female</t>
        </is>
      </c>
      <c r="K85" t="inlineStr">
        <is>
          <t>2009-09-21</t>
        </is>
      </c>
      <c r="L85" t="n">
        <v>16</v>
      </c>
      <c r="M85" t="inlineStr">
        <is>
          <t>(619) 512-2261</t>
        </is>
      </c>
      <c r="N85" t="inlineStr">
        <is>
          <t>cammythach2009@gmail.com</t>
        </is>
      </c>
      <c r="O85" t="inlineStr">
        <is>
          <t>Consent form status unknown or not provided</t>
        </is>
      </c>
      <c r="P85" t="inlineStr"/>
      <c r="Q85" t="inlineStr"/>
      <c r="R85" t="inlineStr"/>
      <c r="S85" t="inlineStr"/>
      <c r="T85" t="inlineStr"/>
      <c r="U85" t="inlineStr"/>
      <c r="V85">
        <f>HYPERLINK("https://chmeetings.blob.core.windows.net/846969/attachments/IoPT5OC820MZ0J9W3iYjg/3b910098-b32e-4041-af82-6d4931dcb398.jpg", "https://chmeetings.blob.core.windows.net/846969/attachments/IoPT5OC820MZ0J9W3iYjg/3b910098-b32e-4041-af82-6d4931dcb398.jpg")</f>
        <v/>
      </c>
      <c r="W85" t="inlineStr">
        <is>
          <t>2026-05-03 21:55:21</t>
        </is>
      </c>
    </row>
    <row r="86">
      <c r="A86" t="inlineStr">
        <is>
          <t>PCC</t>
        </is>
      </c>
      <c r="B86" t="inlineStr">
        <is>
          <t>3615939</t>
        </is>
      </c>
      <c r="C86" t="inlineStr">
        <is>
          <t>Victoria</t>
        </is>
      </c>
      <c r="D86" t="inlineStr">
        <is>
          <t>Vuong</t>
        </is>
      </c>
      <c r="E86" t="inlineStr">
        <is>
          <t>Yes</t>
        </is>
      </c>
      <c r="F86" t="inlineStr">
        <is>
          <t>Yes</t>
        </is>
      </c>
      <c r="G86" t="inlineStr">
        <is>
          <t>103</t>
        </is>
      </c>
      <c r="H86" t="inlineStr">
        <is>
          <t>pending</t>
        </is>
      </c>
      <c r="I86" t="n">
        <v>1</v>
      </c>
      <c r="J86" t="inlineStr">
        <is>
          <t>Female</t>
        </is>
      </c>
      <c r="K86" t="inlineStr">
        <is>
          <t>2011-01-11</t>
        </is>
      </c>
      <c r="L86" t="n">
        <v>15</v>
      </c>
      <c r="M86" t="inlineStr">
        <is>
          <t>(858) 780-6524</t>
        </is>
      </c>
      <c r="N86" t="inlineStr">
        <is>
          <t>victoria.vuongg11@gmail.com</t>
        </is>
      </c>
      <c r="O86" t="inlineStr">
        <is>
          <t>Consent form status unknown or not provided</t>
        </is>
      </c>
      <c r="P86" t="inlineStr"/>
      <c r="Q86" t="inlineStr"/>
      <c r="R86" t="inlineStr"/>
      <c r="S86" t="inlineStr"/>
      <c r="T86" t="inlineStr"/>
      <c r="U86" t="inlineStr"/>
      <c r="V86">
        <f>HYPERLINK("https://chmeetings.blob.core.windows.net/846969/attachments/mM0gFFZvK0y4fHMGqX3qIA/e2efb60e-cb30-4d10-8462-78bce218d675.jpg", "https://chmeetings.blob.core.windows.net/846969/attachments/mM0gFFZvK0y4fHMGqX3qIA/e2efb60e-cb30-4d10-8462-78bce218d675.jpg")</f>
        <v/>
      </c>
      <c r="W86" t="inlineStr">
        <is>
          <t>2026-05-03 22:07:06</t>
        </is>
      </c>
    </row>
    <row r="87">
      <c r="A87" t="inlineStr">
        <is>
          <t>PCC</t>
        </is>
      </c>
      <c r="B87" t="inlineStr">
        <is>
          <t>3615924</t>
        </is>
      </c>
      <c r="C87" t="inlineStr">
        <is>
          <t>Sylas</t>
        </is>
      </c>
      <c r="D87" t="inlineStr">
        <is>
          <t>Doan</t>
        </is>
      </c>
      <c r="E87" t="inlineStr">
        <is>
          <t>Yes</t>
        </is>
      </c>
      <c r="F87" t="inlineStr">
        <is>
          <t>Yes</t>
        </is>
      </c>
      <c r="G87" t="inlineStr">
        <is>
          <t>96</t>
        </is>
      </c>
      <c r="H87" t="inlineStr">
        <is>
          <t>validated</t>
        </is>
      </c>
      <c r="I87" t="n">
        <v>0</v>
      </c>
      <c r="J87" t="inlineStr">
        <is>
          <t>Male</t>
        </is>
      </c>
      <c r="K87" t="inlineStr">
        <is>
          <t>2008-05-27</t>
        </is>
      </c>
      <c r="L87" t="n">
        <v>18</v>
      </c>
      <c r="M87" t="inlineStr">
        <is>
          <t>(619) 897-0626</t>
        </is>
      </c>
      <c r="N87" t="inlineStr">
        <is>
          <t>sylaskdoan@gmail.com</t>
        </is>
      </c>
      <c r="O87" t="inlineStr"/>
      <c r="P87" t="inlineStr"/>
      <c r="Q87" t="inlineStr"/>
      <c r="R87" t="inlineStr"/>
      <c r="S87" t="inlineStr"/>
      <c r="T87" t="inlineStr"/>
      <c r="U87" t="inlineStr"/>
      <c r="V87">
        <f>HYPERLINK("https://chmeetings.blob.core.windows.net/846969/attachments/MZuX3sULm0uE6GUDiZyag/d82bddb5-8dc3-451c-a737-e765849edbe5.jpg", "https://chmeetings.blob.core.windows.net/846969/attachments/MZuX3sULm0uE6GUDiZyag/d82bddb5-8dc3-451c-a737-e765849edbe5.jpg")</f>
        <v/>
      </c>
      <c r="W87" t="inlineStr">
        <is>
          <t>2026-05-03 22:01:52</t>
        </is>
      </c>
    </row>
    <row r="88">
      <c r="A88" t="inlineStr">
        <is>
          <t>PCC</t>
        </is>
      </c>
      <c r="B88" t="inlineStr">
        <is>
          <t>3615927</t>
        </is>
      </c>
      <c r="C88" t="inlineStr">
        <is>
          <t>Paul</t>
        </is>
      </c>
      <c r="D88" t="inlineStr">
        <is>
          <t>Huynh</t>
        </is>
      </c>
      <c r="E88" t="inlineStr">
        <is>
          <t>Yes</t>
        </is>
      </c>
      <c r="F88" t="inlineStr">
        <is>
          <t>Yes</t>
        </is>
      </c>
      <c r="G88" t="inlineStr">
        <is>
          <t>102</t>
        </is>
      </c>
      <c r="H88" t="inlineStr">
        <is>
          <t>validated</t>
        </is>
      </c>
      <c r="I88" t="n">
        <v>0</v>
      </c>
      <c r="J88" t="inlineStr">
        <is>
          <t>Male</t>
        </is>
      </c>
      <c r="K88" t="inlineStr">
        <is>
          <t>2007-07-21</t>
        </is>
      </c>
      <c r="L88" t="n">
        <v>18</v>
      </c>
      <c r="M88" t="inlineStr">
        <is>
          <t>(858) 933-7306</t>
        </is>
      </c>
      <c r="N88" t="inlineStr">
        <is>
          <t>Noodle_storm1@icloud.com</t>
        </is>
      </c>
      <c r="O88" t="inlineStr"/>
      <c r="P88" t="inlineStr"/>
      <c r="Q88" t="inlineStr"/>
      <c r="R88" t="inlineStr"/>
      <c r="S88" t="inlineStr"/>
      <c r="T88" t="inlineStr"/>
      <c r="U88" t="inlineStr"/>
      <c r="V88">
        <f>HYPERLINK("https://chmeetings.blob.core.windows.net/846969/attachments/Zrta8DMWUakk9LacvoTg/f5ca0686-d499-4f36-aaf7-2daa1d8d7752.jpg", "https://chmeetings.blob.core.windows.net/846969/attachments/Zrta8DMWUakk9LacvoTg/f5ca0686-d499-4f36-aaf7-2daa1d8d7752.jpg")</f>
        <v/>
      </c>
      <c r="W88" t="inlineStr">
        <is>
          <t>2026-05-03 21:58:37</t>
        </is>
      </c>
    </row>
    <row r="89">
      <c r="A89" t="inlineStr">
        <is>
          <t>PCC</t>
        </is>
      </c>
      <c r="B89" t="inlineStr">
        <is>
          <t>3615926</t>
        </is>
      </c>
      <c r="C89" t="inlineStr">
        <is>
          <t>Paula</t>
        </is>
      </c>
      <c r="D89" t="inlineStr">
        <is>
          <t>Huynh</t>
        </is>
      </c>
      <c r="E89" t="inlineStr">
        <is>
          <t>Yes</t>
        </is>
      </c>
      <c r="F89" t="inlineStr">
        <is>
          <t>Yes</t>
        </is>
      </c>
      <c r="G89" t="inlineStr">
        <is>
          <t>97</t>
        </is>
      </c>
      <c r="H89" t="inlineStr">
        <is>
          <t>validated</t>
        </is>
      </c>
      <c r="I89" t="n">
        <v>0</v>
      </c>
      <c r="J89" t="inlineStr">
        <is>
          <t>Female</t>
        </is>
      </c>
      <c r="K89" t="inlineStr">
        <is>
          <t>2008-07-14</t>
        </is>
      </c>
      <c r="L89" t="n">
        <v>18</v>
      </c>
      <c r="M89" t="inlineStr">
        <is>
          <t>(858) 269-9236</t>
        </is>
      </c>
      <c r="N89" t="inlineStr">
        <is>
          <t>paula.huynh08@gmail.com</t>
        </is>
      </c>
      <c r="O89" t="inlineStr"/>
      <c r="P89" t="inlineStr"/>
      <c r="Q89" t="inlineStr"/>
      <c r="R89" t="inlineStr"/>
      <c r="S89" t="inlineStr"/>
      <c r="T89" t="inlineStr"/>
      <c r="U89" t="inlineStr"/>
      <c r="V89">
        <f>HYPERLINK("https://chmeetings.blob.core.windows.net/846969/attachments/JQzE4BjkGi1nJQdHKtA/dda63993-8871-4240-91ab-97d72c1f74f0.jpg", "https://chmeetings.blob.core.windows.net/846969/attachments/JQzE4BjkGi1nJQdHKtA/dda63993-8871-4240-91ab-97d72c1f74f0.jpg")</f>
        <v/>
      </c>
      <c r="W89" t="inlineStr">
        <is>
          <t>2026-05-03 21:54:06</t>
        </is>
      </c>
    </row>
    <row r="90">
      <c r="A90" t="inlineStr">
        <is>
          <t>PCC</t>
        </is>
      </c>
      <c r="B90" t="inlineStr">
        <is>
          <t>3610932</t>
        </is>
      </c>
      <c r="C90" t="inlineStr">
        <is>
          <t>Jerry</t>
        </is>
      </c>
      <c r="D90" t="inlineStr">
        <is>
          <t>Lai</t>
        </is>
      </c>
      <c r="E90" t="inlineStr">
        <is>
          <t>Yes</t>
        </is>
      </c>
      <c r="F90" t="inlineStr">
        <is>
          <t>No</t>
        </is>
      </c>
      <c r="G90" t="inlineStr">
        <is>
          <t>99</t>
        </is>
      </c>
      <c r="H90" t="inlineStr">
        <is>
          <t>validated</t>
        </is>
      </c>
      <c r="I90" t="n">
        <v>0</v>
      </c>
      <c r="J90" t="inlineStr">
        <is>
          <t>Male</t>
        </is>
      </c>
      <c r="K90" t="inlineStr">
        <is>
          <t>1997-10-12</t>
        </is>
      </c>
      <c r="L90" t="n">
        <v>28</v>
      </c>
      <c r="M90" t="inlineStr">
        <is>
          <t>(619) 402-7575</t>
        </is>
      </c>
      <c r="N90" t="inlineStr">
        <is>
          <t>jerry_lai1997@yahoo.com</t>
        </is>
      </c>
      <c r="O90" t="inlineStr"/>
      <c r="P90" t="inlineStr"/>
      <c r="Q90" t="inlineStr"/>
      <c r="R90" t="inlineStr"/>
      <c r="S90" t="inlineStr"/>
      <c r="T90" t="inlineStr"/>
      <c r="U90" t="inlineStr"/>
      <c r="V90">
        <f>HYPERLINK("https://chmeetings.blob.core.windows.net/846969/attachments/jSqCYDu6wEGhHmvDctKIw/adebb1ad-5662-4028-b258-23ce1c422218.jpg", "https://chmeetings.blob.core.windows.net/846969/attachments/jSqCYDu6wEGhHmvDctKIw/adebb1ad-5662-4028-b258-23ce1c422218.jpg")</f>
        <v/>
      </c>
      <c r="W90" t="inlineStr">
        <is>
          <t>2026-05-03 21:54:21</t>
        </is>
      </c>
    </row>
    <row r="91">
      <c r="A91" t="inlineStr">
        <is>
          <t>PCC</t>
        </is>
      </c>
      <c r="B91" t="inlineStr">
        <is>
          <t>3610933</t>
        </is>
      </c>
      <c r="C91" t="inlineStr">
        <is>
          <t>khang</t>
        </is>
      </c>
      <c r="D91" t="inlineStr">
        <is>
          <t>huynh</t>
        </is>
      </c>
      <c r="E91" t="inlineStr">
        <is>
          <t>Yes</t>
        </is>
      </c>
      <c r="F91" t="inlineStr">
        <is>
          <t>Yes</t>
        </is>
      </c>
      <c r="G91" t="inlineStr">
        <is>
          <t>101</t>
        </is>
      </c>
      <c r="H91" t="inlineStr">
        <is>
          <t>validated</t>
        </is>
      </c>
      <c r="I91" t="n">
        <v>0</v>
      </c>
      <c r="J91" t="inlineStr">
        <is>
          <t>Male</t>
        </is>
      </c>
      <c r="K91" t="inlineStr">
        <is>
          <t>2005-10-16</t>
        </is>
      </c>
      <c r="L91" t="n">
        <v>20</v>
      </c>
      <c r="M91" t="inlineStr">
        <is>
          <t>(858) 305-9787</t>
        </is>
      </c>
      <c r="N91" t="inlineStr">
        <is>
          <t>khanghuynh1324@icloud.com</t>
        </is>
      </c>
      <c r="O91" t="inlineStr"/>
      <c r="P91" t="inlineStr"/>
      <c r="Q91" t="inlineStr"/>
      <c r="R91" t="inlineStr"/>
      <c r="S91" t="inlineStr"/>
      <c r="T91" t="inlineStr"/>
      <c r="U91" t="inlineStr"/>
      <c r="V91">
        <f>HYPERLINK("https://chmeetings.blob.core.windows.net/846969/attachments/rsy8NHglukeGParGAUGW1g/b5dcbd2f-ae7f-4d6e-b042-75f29e50fee8.jpg", "https://chmeetings.blob.core.windows.net/846969/attachments/rsy8NHglukeGParGAUGW1g/b5dcbd2f-ae7f-4d6e-b042-75f29e50fee8.jpg")</f>
        <v/>
      </c>
      <c r="W91" t="inlineStr">
        <is>
          <t>2026-05-03 21:59:36</t>
        </is>
      </c>
    </row>
    <row r="92">
      <c r="A92" t="inlineStr">
        <is>
          <t>PCC</t>
        </is>
      </c>
      <c r="B92" t="inlineStr">
        <is>
          <t>3610934</t>
        </is>
      </c>
      <c r="C92" t="inlineStr">
        <is>
          <t>terry</t>
        </is>
      </c>
      <c r="D92" t="inlineStr">
        <is>
          <t>lai</t>
        </is>
      </c>
      <c r="E92" t="inlineStr">
        <is>
          <t>Yes</t>
        </is>
      </c>
      <c r="F92" t="inlineStr">
        <is>
          <t>Yes</t>
        </is>
      </c>
      <c r="G92" t="inlineStr">
        <is>
          <t>100</t>
        </is>
      </c>
      <c r="H92" t="inlineStr">
        <is>
          <t>validated</t>
        </is>
      </c>
      <c r="I92" t="n">
        <v>0</v>
      </c>
      <c r="J92" t="inlineStr">
        <is>
          <t>Male</t>
        </is>
      </c>
      <c r="K92" t="inlineStr">
        <is>
          <t>2001-02-18</t>
        </is>
      </c>
      <c r="L92" t="n">
        <v>25</v>
      </c>
      <c r="M92" t="inlineStr">
        <is>
          <t>(619) 219-1666</t>
        </is>
      </c>
      <c r="N92" t="inlineStr">
        <is>
          <t>laiterry123@gmail.com</t>
        </is>
      </c>
      <c r="O92" t="inlineStr"/>
      <c r="P92" t="inlineStr"/>
      <c r="Q92" t="inlineStr"/>
      <c r="R92" t="inlineStr"/>
      <c r="S92" t="inlineStr"/>
      <c r="T92" t="inlineStr"/>
      <c r="U92" t="inlineStr"/>
      <c r="V92">
        <f>HYPERLINK("https://chmeetings.blob.core.windows.net/846969/attachments/UlcCVYaeNEOKklkE1etEw/8f0e0555-8491-4b7e-a7d5-4ea2e10c6a0c.jpg", "https://chmeetings.blob.core.windows.net/846969/attachments/UlcCVYaeNEOKklkE1etEw/8f0e0555-8491-4b7e-a7d5-4ea2e10c6a0c.jpg")</f>
        <v/>
      </c>
      <c r="W92" t="inlineStr">
        <is>
          <t>2026-05-03 21:54:44</t>
        </is>
      </c>
    </row>
    <row r="93">
      <c r="A93" t="inlineStr">
        <is>
          <t>PCC</t>
        </is>
      </c>
      <c r="B93" t="inlineStr">
        <is>
          <t>3615937</t>
        </is>
      </c>
      <c r="C93" t="inlineStr">
        <is>
          <t>Amanda</t>
        </is>
      </c>
      <c r="D93" t="inlineStr">
        <is>
          <t>Dao</t>
        </is>
      </c>
      <c r="E93" t="inlineStr">
        <is>
          <t>No</t>
        </is>
      </c>
      <c r="F93" t="inlineStr">
        <is>
          <t>No</t>
        </is>
      </c>
      <c r="G93" t="n">
        <v>0</v>
      </c>
      <c r="H93" t="inlineStr">
        <is>
          <t>N/A</t>
        </is>
      </c>
      <c r="I93" t="n">
        <v>0</v>
      </c>
      <c r="J93" t="inlineStr">
        <is>
          <t>Female</t>
        </is>
      </c>
      <c r="K93" t="inlineStr">
        <is>
          <t>2010-01-01</t>
        </is>
      </c>
      <c r="L93" t="n">
        <v>16</v>
      </c>
      <c r="M93" t="inlineStr">
        <is>
          <t>(858) 634-0634</t>
        </is>
      </c>
      <c r="N93" t="inlineStr">
        <is>
          <t>amandatdao@gmail.com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N/A</t>
        </is>
      </c>
      <c r="W93" t="inlineStr">
        <is>
          <t>2026-04-16 13:47:47</t>
        </is>
      </c>
    </row>
    <row r="94">
      <c r="A94" t="inlineStr">
        <is>
          <t>PCC</t>
        </is>
      </c>
      <c r="B94" t="inlineStr">
        <is>
          <t>3615936</t>
        </is>
      </c>
      <c r="C94" t="inlineStr">
        <is>
          <t>Timothy</t>
        </is>
      </c>
      <c r="D94" t="inlineStr">
        <is>
          <t>Dao</t>
        </is>
      </c>
      <c r="E94" t="inlineStr">
        <is>
          <t>No</t>
        </is>
      </c>
      <c r="F94" t="inlineStr">
        <is>
          <t>No</t>
        </is>
      </c>
      <c r="G94" t="n">
        <v>0</v>
      </c>
      <c r="H94" t="inlineStr">
        <is>
          <t>N/A</t>
        </is>
      </c>
      <c r="I94" t="n">
        <v>0</v>
      </c>
      <c r="J94" t="inlineStr">
        <is>
          <t>Male</t>
        </is>
      </c>
      <c r="K94" t="inlineStr">
        <is>
          <t>2007-04-19</t>
        </is>
      </c>
      <c r="L94" t="n">
        <v>19</v>
      </c>
      <c r="M94" t="inlineStr">
        <is>
          <t>(858) 375-6609</t>
        </is>
      </c>
      <c r="N94" t="inlineStr">
        <is>
          <t>timothyhdao@gmail.com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N/A</t>
        </is>
      </c>
      <c r="W94" t="inlineStr">
        <is>
          <t>2026-04-16 13:44:00</t>
        </is>
      </c>
    </row>
    <row r="95">
      <c r="A95" t="inlineStr">
        <is>
          <t>PCC</t>
        </is>
      </c>
      <c r="B95" t="inlineStr">
        <is>
          <t>3616818</t>
        </is>
      </c>
      <c r="C95" t="inlineStr">
        <is>
          <t>Edyn</t>
        </is>
      </c>
      <c r="D95" t="inlineStr">
        <is>
          <t>Doan</t>
        </is>
      </c>
      <c r="E95" t="inlineStr">
        <is>
          <t>No</t>
        </is>
      </c>
      <c r="F95" t="inlineStr">
        <is>
          <t>No</t>
        </is>
      </c>
      <c r="G95" t="n">
        <v>0</v>
      </c>
      <c r="H95" t="inlineStr">
        <is>
          <t>N/A</t>
        </is>
      </c>
      <c r="I95" t="n">
        <v>0</v>
      </c>
      <c r="J95" t="inlineStr">
        <is>
          <t>Female</t>
        </is>
      </c>
      <c r="K95" t="inlineStr">
        <is>
          <t>2010-03-23</t>
        </is>
      </c>
      <c r="L95" t="n">
        <v>16</v>
      </c>
      <c r="M95" t="inlineStr">
        <is>
          <t>(619) 897-0567</t>
        </is>
      </c>
      <c r="N95" t="inlineStr">
        <is>
          <t>Edynhdoan@gmail.com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N/A</t>
        </is>
      </c>
      <c r="W95" t="inlineStr">
        <is>
          <t>2026-04-16 13:47:48</t>
        </is>
      </c>
    </row>
    <row r="96">
      <c r="A96" t="inlineStr">
        <is>
          <t>PCC</t>
        </is>
      </c>
      <c r="B96" t="inlineStr">
        <is>
          <t>3616815</t>
        </is>
      </c>
      <c r="C96" t="inlineStr">
        <is>
          <t>Kenny</t>
        </is>
      </c>
      <c r="D96" t="inlineStr">
        <is>
          <t>Phan</t>
        </is>
      </c>
      <c r="E96" t="inlineStr">
        <is>
          <t>No</t>
        </is>
      </c>
      <c r="F96" t="inlineStr">
        <is>
          <t>No</t>
        </is>
      </c>
      <c r="G96" t="n">
        <v>0</v>
      </c>
      <c r="H96" t="inlineStr">
        <is>
          <t>N/A</t>
        </is>
      </c>
      <c r="I96" t="n">
        <v>0</v>
      </c>
      <c r="J96" t="inlineStr">
        <is>
          <t>Male</t>
        </is>
      </c>
      <c r="K96" t="inlineStr">
        <is>
          <t>2004-09-27</t>
        </is>
      </c>
      <c r="L96" t="n">
        <v>21</v>
      </c>
      <c r="M96" t="inlineStr">
        <is>
          <t>(858) 436-5561</t>
        </is>
      </c>
      <c r="N96" t="inlineStr">
        <is>
          <t>phankenny28@gmail.com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N/A</t>
        </is>
      </c>
      <c r="W96" t="inlineStr">
        <is>
          <t>2026-04-16 13:44:39</t>
        </is>
      </c>
    </row>
    <row r="97">
      <c r="A97" t="inlineStr">
        <is>
          <t>PCC</t>
        </is>
      </c>
      <c r="B97" t="inlineStr">
        <is>
          <t>3616814</t>
        </is>
      </c>
      <c r="C97" t="inlineStr">
        <is>
          <t>Diemmy</t>
        </is>
      </c>
      <c r="D97" t="inlineStr">
        <is>
          <t>Thach</t>
        </is>
      </c>
      <c r="E97" t="inlineStr">
        <is>
          <t>No</t>
        </is>
      </c>
      <c r="F97" t="inlineStr">
        <is>
          <t>No</t>
        </is>
      </c>
      <c r="G97" t="n">
        <v>0</v>
      </c>
      <c r="H97" t="inlineStr">
        <is>
          <t>N/A</t>
        </is>
      </c>
      <c r="I97" t="n">
        <v>0</v>
      </c>
      <c r="J97" t="inlineStr">
        <is>
          <t>Female</t>
        </is>
      </c>
      <c r="K97" t="inlineStr">
        <is>
          <t>2012-01-20</t>
        </is>
      </c>
      <c r="L97" t="n">
        <v>14</v>
      </c>
      <c r="M97" t="inlineStr">
        <is>
          <t>(619) 512-2647</t>
        </is>
      </c>
      <c r="N97" t="inlineStr">
        <is>
          <t>diemmy2012thach@gmail.com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N/A</t>
        </is>
      </c>
      <c r="W97" t="inlineStr">
        <is>
          <t>2026-04-16 13:44:42</t>
        </is>
      </c>
    </row>
    <row r="98">
      <c r="A98" t="inlineStr">
        <is>
          <t>PCC</t>
        </is>
      </c>
      <c r="B98" t="inlineStr">
        <is>
          <t>3615922</t>
        </is>
      </c>
      <c r="C98" t="inlineStr">
        <is>
          <t>Jaiden</t>
        </is>
      </c>
      <c r="D98" t="inlineStr">
        <is>
          <t>Truong</t>
        </is>
      </c>
      <c r="E98" t="inlineStr">
        <is>
          <t>No</t>
        </is>
      </c>
      <c r="F98" t="inlineStr">
        <is>
          <t>No</t>
        </is>
      </c>
      <c r="G98" t="n">
        <v>0</v>
      </c>
      <c r="H98" t="inlineStr">
        <is>
          <t>N/A</t>
        </is>
      </c>
      <c r="I98" t="n">
        <v>0</v>
      </c>
      <c r="J98" t="inlineStr">
        <is>
          <t>Female</t>
        </is>
      </c>
      <c r="K98" t="inlineStr">
        <is>
          <t>2009-03-21</t>
        </is>
      </c>
      <c r="L98" t="n">
        <v>17</v>
      </c>
      <c r="M98" t="inlineStr">
        <is>
          <t>(619) 204-4955</t>
        </is>
      </c>
      <c r="N98" t="inlineStr">
        <is>
          <t>truongjaiden@gmail.com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N/A</t>
        </is>
      </c>
      <c r="W98" t="inlineStr">
        <is>
          <t>2026-04-16 13:47:55</t>
        </is>
      </c>
    </row>
    <row r="99">
      <c r="A99" t="inlineStr">
        <is>
          <t>PCC</t>
        </is>
      </c>
      <c r="B99" t="inlineStr">
        <is>
          <t>3615925</t>
        </is>
      </c>
      <c r="C99" t="inlineStr">
        <is>
          <t>Sophia</t>
        </is>
      </c>
      <c r="D99" t="inlineStr">
        <is>
          <t>Truong</t>
        </is>
      </c>
      <c r="E99" t="inlineStr">
        <is>
          <t>No</t>
        </is>
      </c>
      <c r="F99" t="inlineStr">
        <is>
          <t>No</t>
        </is>
      </c>
      <c r="G99" t="n">
        <v>0</v>
      </c>
      <c r="H99" t="inlineStr">
        <is>
          <t>N/A</t>
        </is>
      </c>
      <c r="I99" t="n">
        <v>0</v>
      </c>
      <c r="J99" t="inlineStr">
        <is>
          <t>Female</t>
        </is>
      </c>
      <c r="K99" t="inlineStr">
        <is>
          <t>2009-05-10</t>
        </is>
      </c>
      <c r="L99" t="n">
        <v>17</v>
      </c>
      <c r="M99" t="inlineStr">
        <is>
          <t>(858) 610-2250</t>
        </is>
      </c>
      <c r="N99" t="inlineStr">
        <is>
          <t>sophiatruonggg@gmail.com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N/A</t>
        </is>
      </c>
      <c r="W99" t="inlineStr">
        <is>
          <t>2026-04-16 13:47:56</t>
        </is>
      </c>
    </row>
    <row r="100">
      <c r="A100" t="inlineStr">
        <is>
          <t>PCC</t>
        </is>
      </c>
      <c r="B100" t="inlineStr">
        <is>
          <t>3610935</t>
        </is>
      </c>
      <c r="C100" t="inlineStr">
        <is>
          <t>onric</t>
        </is>
      </c>
      <c r="D100" t="inlineStr">
        <is>
          <t>chewy</t>
        </is>
      </c>
      <c r="E100" t="inlineStr">
        <is>
          <t>No</t>
        </is>
      </c>
      <c r="F100" t="inlineStr">
        <is>
          <t>No</t>
        </is>
      </c>
      <c r="G100" t="n">
        <v>0</v>
      </c>
      <c r="H100" t="inlineStr">
        <is>
          <t>N/A</t>
        </is>
      </c>
      <c r="I100" t="n">
        <v>0</v>
      </c>
      <c r="J100" t="inlineStr">
        <is>
          <t>Male</t>
        </is>
      </c>
      <c r="K100" t="inlineStr">
        <is>
          <t>2001-11-29</t>
        </is>
      </c>
      <c r="L100" t="n">
        <v>24</v>
      </c>
      <c r="M100" t="inlineStr">
        <is>
          <t>(619) 772-2007</t>
        </is>
      </c>
      <c r="N100" t="inlineStr">
        <is>
          <t>onricchewy@gmail.com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N/A</t>
        </is>
      </c>
      <c r="W100" t="inlineStr">
        <is>
          <t>2026-04-16 13:43:59</t>
        </is>
      </c>
    </row>
    <row r="101">
      <c r="A101" t="inlineStr">
        <is>
          <t>RPC</t>
        </is>
      </c>
      <c r="B101" t="inlineStr">
        <is>
          <t>3615935</t>
        </is>
      </c>
      <c r="C101" t="inlineStr">
        <is>
          <t>Emily</t>
        </is>
      </c>
      <c r="D101" t="inlineStr">
        <is>
          <t>Duong</t>
        </is>
      </c>
      <c r="E101" t="inlineStr">
        <is>
          <t>Yes</t>
        </is>
      </c>
      <c r="F101" t="inlineStr">
        <is>
          <t>Yes</t>
        </is>
      </c>
      <c r="G101" t="inlineStr">
        <is>
          <t>6</t>
        </is>
      </c>
      <c r="H101" t="inlineStr">
        <is>
          <t>pending_approval</t>
        </is>
      </c>
      <c r="I101" t="n">
        <v>1</v>
      </c>
      <c r="J101" t="inlineStr">
        <is>
          <t>Female</t>
        </is>
      </c>
      <c r="K101" t="inlineStr">
        <is>
          <t>2012-04-11</t>
        </is>
      </c>
      <c r="L101" t="n">
        <v>14</v>
      </c>
      <c r="M101" t="inlineStr">
        <is>
          <t>(714) 454-1390</t>
        </is>
      </c>
      <c r="N101" t="inlineStr">
        <is>
          <t>emilyduong411@gmail.com</t>
        </is>
      </c>
      <c r="O101" t="inlineStr">
        <is>
          <t>Consent form status unknown or not provided</t>
        </is>
      </c>
      <c r="P101" t="inlineStr">
        <is>
          <t>1. Correct identity, gender, age range</t>
        </is>
      </c>
      <c r="Q101" t="inlineStr">
        <is>
          <t>2. Consent Form Signed by Self or Parents</t>
        </is>
      </c>
      <c r="R101" t="inlineStr">
        <is>
          <t>3. Account created on Member Portal and logged in</t>
        </is>
      </c>
      <c r="S101" t="inlineStr">
        <is>
          <t>4. Valid Photo as ID for event check-in</t>
        </is>
      </c>
      <c r="T101" t="inlineStr"/>
      <c r="U101" t="inlineStr"/>
      <c r="V101">
        <f>HYPERLINK("https://chmeetings.blob.core.windows.net/846969/attachments/WTqSOpU4yE2opCVCMF2sJQ/637a0ed2-2668-4583-ae97-66dbcfffa078.jpg", "https://chmeetings.blob.core.windows.net/846969/attachments/WTqSOpU4yE2opCVCMF2sJQ/637a0ed2-2668-4583-ae97-66dbcfffa078.jpg")</f>
        <v/>
      </c>
      <c r="W101" t="inlineStr">
        <is>
          <t>2026-05-02 19:23:14</t>
        </is>
      </c>
    </row>
    <row r="102">
      <c r="A102" t="inlineStr">
        <is>
          <t>RPC</t>
        </is>
      </c>
      <c r="B102" t="inlineStr">
        <is>
          <t>3628891</t>
        </is>
      </c>
      <c r="C102" t="inlineStr">
        <is>
          <t>Aneesa</t>
        </is>
      </c>
      <c r="D102" t="inlineStr">
        <is>
          <t>Le</t>
        </is>
      </c>
      <c r="E102" t="inlineStr">
        <is>
          <t>Yes</t>
        </is>
      </c>
      <c r="F102" t="inlineStr">
        <is>
          <t>Yes</t>
        </is>
      </c>
      <c r="G102" t="inlineStr">
        <is>
          <t>70</t>
        </is>
      </c>
      <c r="H102" t="inlineStr">
        <is>
          <t>pending</t>
        </is>
      </c>
      <c r="I102" t="n">
        <v>1</v>
      </c>
      <c r="J102" t="inlineStr">
        <is>
          <t>Female</t>
        </is>
      </c>
      <c r="K102" t="inlineStr">
        <is>
          <t>2010-10-27</t>
        </is>
      </c>
      <c r="L102" t="n">
        <v>15</v>
      </c>
      <c r="M102" t="inlineStr">
        <is>
          <t>(562) 350-8879</t>
        </is>
      </c>
      <c r="N102" t="inlineStr">
        <is>
          <t>k10ale27@gmail.com</t>
        </is>
      </c>
      <c r="O102" t="inlineStr">
        <is>
          <t>Consent form status unknown or not provided</t>
        </is>
      </c>
      <c r="P102" t="inlineStr"/>
      <c r="Q102" t="inlineStr"/>
      <c r="R102" t="inlineStr"/>
      <c r="S102" t="inlineStr"/>
      <c r="T102" t="inlineStr"/>
      <c r="U102" t="inlineStr"/>
      <c r="V102">
        <f>HYPERLINK("https://chmeetings.blob.core.windows.net/846969/attachments/qYsqyoFUWkOaQb5QUBES6g/603d1093-8a12-4fff-ab36-9128541811d0.jpg", "https://chmeetings.blob.core.windows.net/846969/attachments/qYsqyoFUWkOaQb5QUBES6g/603d1093-8a12-4fff-ab36-9128541811d0.jpg")</f>
        <v/>
      </c>
      <c r="W102" t="inlineStr">
        <is>
          <t>2026-05-03 22:07:35</t>
        </is>
      </c>
    </row>
    <row r="103">
      <c r="A103" t="inlineStr">
        <is>
          <t>RPC</t>
        </is>
      </c>
      <c r="B103" t="inlineStr">
        <is>
          <t>3618796</t>
        </is>
      </c>
      <c r="C103" t="inlineStr">
        <is>
          <t>Jacob</t>
        </is>
      </c>
      <c r="D103" t="inlineStr">
        <is>
          <t>Le</t>
        </is>
      </c>
      <c r="E103" t="inlineStr">
        <is>
          <t>Yes</t>
        </is>
      </c>
      <c r="F103" t="inlineStr">
        <is>
          <t>Yes</t>
        </is>
      </c>
      <c r="G103" t="inlineStr">
        <is>
          <t>7</t>
        </is>
      </c>
      <c r="H103" t="inlineStr">
        <is>
          <t>pending</t>
        </is>
      </c>
      <c r="I103" t="n">
        <v>1</v>
      </c>
      <c r="J103" t="inlineStr">
        <is>
          <t>Male</t>
        </is>
      </c>
      <c r="K103" t="inlineStr">
        <is>
          <t>2009-09-21</t>
        </is>
      </c>
      <c r="L103" t="n">
        <v>16</v>
      </c>
      <c r="M103" t="inlineStr">
        <is>
          <t>(714) 316-9141</t>
        </is>
      </c>
      <c r="N103" t="inlineStr">
        <is>
          <t>jacob.mle21@gmail.com</t>
        </is>
      </c>
      <c r="O103" t="inlineStr">
        <is>
          <t>Consent form status unknown or not provided</t>
        </is>
      </c>
      <c r="P103" t="inlineStr">
        <is>
          <t>1. Correct identity, gender, age range</t>
        </is>
      </c>
      <c r="Q103" t="inlineStr"/>
      <c r="R103" t="inlineStr">
        <is>
          <t>3. Account created on Member Portal and logged in</t>
        </is>
      </c>
      <c r="S103" t="inlineStr">
        <is>
          <t>4. Valid Photo as ID for event check-in</t>
        </is>
      </c>
      <c r="T103" t="inlineStr"/>
      <c r="U103" t="inlineStr"/>
      <c r="V103">
        <f>HYPERLINK("https://chmeetings.blob.core.windows.net/846969/attachments/6phgsjmFklfKzzU3ErQ/5e007272-27f7-4f8f-a466-456aac4cdea1.jpg", "https://chmeetings.blob.core.windows.net/846969/attachments/6phgsjmFklfKzzU3ErQ/5e007272-27f7-4f8f-a466-456aac4cdea1.jpg")</f>
        <v/>
      </c>
      <c r="W103" t="inlineStr">
        <is>
          <t>2026-05-02 19:26:11</t>
        </is>
      </c>
    </row>
    <row r="104">
      <c r="A104" t="inlineStr">
        <is>
          <t>RPC</t>
        </is>
      </c>
      <c r="B104" t="inlineStr">
        <is>
          <t>4361920</t>
        </is>
      </c>
      <c r="C104" t="inlineStr">
        <is>
          <t>Ayden</t>
        </is>
      </c>
      <c r="D104" t="inlineStr">
        <is>
          <t>Luu</t>
        </is>
      </c>
      <c r="E104" t="inlineStr">
        <is>
          <t>Yes</t>
        </is>
      </c>
      <c r="F104" t="inlineStr">
        <is>
          <t>Yes</t>
        </is>
      </c>
      <c r="G104" t="inlineStr">
        <is>
          <t>4</t>
        </is>
      </c>
      <c r="H104" t="inlineStr">
        <is>
          <t>pending</t>
        </is>
      </c>
      <c r="I104" t="n">
        <v>1</v>
      </c>
      <c r="J104" t="inlineStr">
        <is>
          <t>Male</t>
        </is>
      </c>
      <c r="K104" t="inlineStr">
        <is>
          <t>2009-03-01</t>
        </is>
      </c>
      <c r="L104" t="n">
        <v>17</v>
      </c>
      <c r="M104" t="inlineStr">
        <is>
          <t>(714) 719-8452</t>
        </is>
      </c>
      <c r="N104" t="inlineStr">
        <is>
          <t>luuayden@gmail.com</t>
        </is>
      </c>
      <c r="O104" t="inlineStr">
        <is>
          <t>Consent form status unknown or not provided</t>
        </is>
      </c>
      <c r="P104" t="inlineStr">
        <is>
          <t>1. Correct identity, gender, age range</t>
        </is>
      </c>
      <c r="Q104" t="inlineStr"/>
      <c r="R104" t="inlineStr">
        <is>
          <t>3. Account created on Member Portal and logged in</t>
        </is>
      </c>
      <c r="S104" t="inlineStr">
        <is>
          <t>4. Valid Photo as ID for event check-in</t>
        </is>
      </c>
      <c r="T104" t="inlineStr"/>
      <c r="U104" t="inlineStr"/>
      <c r="V104">
        <f>HYPERLINK("https://chmeetings.blob.core.windows.net/846969/attachments/zwMnI3u99EOiML1Vo709lQ/e06bce6f-c69c-4e5b-aeb1-11312d8fd0dd.jpg", "https://chmeetings.blob.core.windows.net/846969/attachments/zwMnI3u99EOiML1Vo709lQ/e06bce6f-c69c-4e5b-aeb1-11312d8fd0dd.jpg")</f>
        <v/>
      </c>
      <c r="W104" t="inlineStr">
        <is>
          <t>2026-05-02 19:22:33</t>
        </is>
      </c>
    </row>
    <row r="105">
      <c r="A105" t="inlineStr">
        <is>
          <t>RPC</t>
        </is>
      </c>
      <c r="B105" t="inlineStr">
        <is>
          <t>3622254</t>
        </is>
      </c>
      <c r="C105" t="inlineStr">
        <is>
          <t>Serena</t>
        </is>
      </c>
      <c r="D105" t="inlineStr">
        <is>
          <t>Mai</t>
        </is>
      </c>
      <c r="E105" t="inlineStr">
        <is>
          <t>Yes</t>
        </is>
      </c>
      <c r="F105" t="inlineStr">
        <is>
          <t>Yes</t>
        </is>
      </c>
      <c r="G105" t="inlineStr">
        <is>
          <t>12</t>
        </is>
      </c>
      <c r="H105" t="inlineStr">
        <is>
          <t>pending</t>
        </is>
      </c>
      <c r="I105" t="n">
        <v>1</v>
      </c>
      <c r="J105" t="inlineStr">
        <is>
          <t>Female</t>
        </is>
      </c>
      <c r="K105" t="inlineStr">
        <is>
          <t>2010-11-16</t>
        </is>
      </c>
      <c r="L105" t="n">
        <v>15</v>
      </c>
      <c r="M105" t="inlineStr">
        <is>
          <t>(714) 873-5541</t>
        </is>
      </c>
      <c r="N105" t="inlineStr">
        <is>
          <t>Serenaquynhnga@gmail.com</t>
        </is>
      </c>
      <c r="O105" t="inlineStr">
        <is>
          <t>Consent form status unknown or not provided</t>
        </is>
      </c>
      <c r="P105" t="inlineStr">
        <is>
          <t>1. Correct identity, gender, age range</t>
        </is>
      </c>
      <c r="Q105" t="inlineStr"/>
      <c r="R105" t="inlineStr">
        <is>
          <t>3. Account created on Member Portal and logged in</t>
        </is>
      </c>
      <c r="S105" t="inlineStr">
        <is>
          <t>4. Valid Photo as ID for event check-in</t>
        </is>
      </c>
      <c r="T105" t="inlineStr"/>
      <c r="U105" t="inlineStr"/>
      <c r="V105">
        <f>HYPERLINK("https://chmeetings.blob.core.windows.net/846969/attachments/5NJ5RbEedbMYhRHg3aQ/440e3a48-4f2e-43e2-a71d-52fd0fb16bed.jpg", "https://chmeetings.blob.core.windows.net/846969/attachments/5NJ5RbEedbMYhRHg3aQ/440e3a48-4f2e-43e2-a71d-52fd0fb16bed.jpg")</f>
        <v/>
      </c>
      <c r="W105" t="inlineStr">
        <is>
          <t>2026-05-02 19:24:23</t>
        </is>
      </c>
    </row>
    <row r="106">
      <c r="A106" t="inlineStr">
        <is>
          <t>RPC</t>
        </is>
      </c>
      <c r="B106" t="inlineStr">
        <is>
          <t>3631136</t>
        </is>
      </c>
      <c r="C106" t="inlineStr">
        <is>
          <t>Celine</t>
        </is>
      </c>
      <c r="D106" t="inlineStr">
        <is>
          <t>Nguyen</t>
        </is>
      </c>
      <c r="E106" t="inlineStr">
        <is>
          <t>Yes</t>
        </is>
      </c>
      <c r="F106" t="inlineStr">
        <is>
          <t>Yes</t>
        </is>
      </c>
      <c r="G106" t="inlineStr">
        <is>
          <t>71</t>
        </is>
      </c>
      <c r="H106" t="inlineStr">
        <is>
          <t>pending</t>
        </is>
      </c>
      <c r="I106" t="n">
        <v>1</v>
      </c>
      <c r="J106" t="inlineStr">
        <is>
          <t>Female</t>
        </is>
      </c>
      <c r="K106" t="inlineStr">
        <is>
          <t>2012-04-17</t>
        </is>
      </c>
      <c r="L106" t="n">
        <v>14</v>
      </c>
      <c r="M106" t="inlineStr">
        <is>
          <t>16573345295</t>
        </is>
      </c>
      <c r="N106" t="inlineStr">
        <is>
          <t>celineng0417@gmail.com</t>
        </is>
      </c>
      <c r="O106" t="inlineStr">
        <is>
          <t>Consent form status unknown or not provided</t>
        </is>
      </c>
      <c r="P106" t="inlineStr"/>
      <c r="Q106" t="inlineStr"/>
      <c r="R106" t="inlineStr"/>
      <c r="S106" t="inlineStr"/>
      <c r="T106" t="inlineStr"/>
      <c r="U106" t="inlineStr"/>
      <c r="V106">
        <f>HYPERLINK("https://chmeetings.blob.core.windows.net/846969/attachments/Iv2VhaKKwkaFaBpP8S2ag/cac9b249-47a7-41a5-867f-c28bdfaebd54.jpg", "https://chmeetings.blob.core.windows.net/846969/attachments/Iv2VhaKKwkaFaBpP8S2ag/cac9b249-47a7-41a5-867f-c28bdfaebd54.jpg")</f>
        <v/>
      </c>
      <c r="W106" t="inlineStr">
        <is>
          <t>2026-05-03 22:04:59</t>
        </is>
      </c>
    </row>
    <row r="107">
      <c r="A107" t="inlineStr">
        <is>
          <t>RPC</t>
        </is>
      </c>
      <c r="B107" t="inlineStr">
        <is>
          <t>3318764</t>
        </is>
      </c>
      <c r="C107" t="inlineStr">
        <is>
          <t>Johnny</t>
        </is>
      </c>
      <c r="D107" t="inlineStr">
        <is>
          <t>Nguyen</t>
        </is>
      </c>
      <c r="E107" t="inlineStr">
        <is>
          <t>Yes</t>
        </is>
      </c>
      <c r="F107" t="inlineStr">
        <is>
          <t>Yes</t>
        </is>
      </c>
      <c r="G107" t="inlineStr">
        <is>
          <t>9</t>
        </is>
      </c>
      <c r="H107" t="inlineStr">
        <is>
          <t>pending_approval</t>
        </is>
      </c>
      <c r="I107" t="n">
        <v>1</v>
      </c>
      <c r="J107" t="inlineStr">
        <is>
          <t>Male</t>
        </is>
      </c>
      <c r="K107" t="inlineStr">
        <is>
          <t>2009-02-09</t>
        </is>
      </c>
      <c r="L107" t="n">
        <v>17</v>
      </c>
      <c r="M107" t="inlineStr">
        <is>
          <t>(714) 585-4961</t>
        </is>
      </c>
      <c r="N107" t="inlineStr">
        <is>
          <t>junnynewinn@gmail.com</t>
        </is>
      </c>
      <c r="O107" t="inlineStr">
        <is>
          <t>Consent form status unknown or not provided</t>
        </is>
      </c>
      <c r="P107" t="inlineStr">
        <is>
          <t>1. Correct identity, gender, age range</t>
        </is>
      </c>
      <c r="Q107" t="inlineStr">
        <is>
          <t>2. Consent Form Signed by Self or Parents</t>
        </is>
      </c>
      <c r="R107" t="inlineStr">
        <is>
          <t>3. Account created on Member Portal and logged in</t>
        </is>
      </c>
      <c r="S107" t="inlineStr">
        <is>
          <t>4. Valid Photo as ID for event check-in</t>
        </is>
      </c>
      <c r="T107" t="inlineStr"/>
      <c r="U107" t="inlineStr"/>
      <c r="V107">
        <f>HYPERLINK("https://chmeetings.blob.core.windows.net/846969/attachments/DoMq9dPmUUu8Q1z673WgQ/e87ffaee-015f-4989-96f9-da9736b2ff43.jpg", "https://chmeetings.blob.core.windows.net/846969/attachments/DoMq9dPmUUu8Q1z673WgQ/e87ffaee-015f-4989-96f9-da9736b2ff43.jpg")</f>
        <v/>
      </c>
      <c r="W107" t="inlineStr">
        <is>
          <t>2026-05-02 19:24:51</t>
        </is>
      </c>
    </row>
    <row r="108">
      <c r="A108" t="inlineStr">
        <is>
          <t>RPC</t>
        </is>
      </c>
      <c r="B108" t="inlineStr">
        <is>
          <t>4363698</t>
        </is>
      </c>
      <c r="C108" t="inlineStr">
        <is>
          <t>Thomas</t>
        </is>
      </c>
      <c r="D108" t="inlineStr">
        <is>
          <t>Phan</t>
        </is>
      </c>
      <c r="E108" t="inlineStr">
        <is>
          <t>Yes</t>
        </is>
      </c>
      <c r="F108" t="inlineStr">
        <is>
          <t>Yes</t>
        </is>
      </c>
      <c r="G108" t="inlineStr">
        <is>
          <t>77</t>
        </is>
      </c>
      <c r="H108" t="inlineStr">
        <is>
          <t>pending</t>
        </is>
      </c>
      <c r="I108" t="n">
        <v>1</v>
      </c>
      <c r="J108" t="inlineStr">
        <is>
          <t>Male</t>
        </is>
      </c>
      <c r="K108" t="inlineStr">
        <is>
          <t>2009-10-31</t>
        </is>
      </c>
      <c r="L108" t="n">
        <v>16</v>
      </c>
      <c r="M108" t="inlineStr">
        <is>
          <t>(714) 418-6964</t>
        </is>
      </c>
      <c r="N108" t="inlineStr">
        <is>
          <t>Phantomthomas31@gmail.com</t>
        </is>
      </c>
      <c r="O108" t="inlineStr">
        <is>
          <t>Consent form status unknown or not provided</t>
        </is>
      </c>
      <c r="P108" t="inlineStr"/>
      <c r="Q108" t="inlineStr"/>
      <c r="R108" t="inlineStr"/>
      <c r="S108" t="inlineStr"/>
      <c r="T108" t="inlineStr"/>
      <c r="U108" t="inlineStr"/>
      <c r="V108">
        <f>HYPERLINK("https://chmeetings.blob.core.windows.net/846969/attachments/qIYHWe3q8U0gELP4AgMfQ/4133a14e-e156-4df5-b4ec-cabb071ccea9.jpg", "https://chmeetings.blob.core.windows.net/846969/attachments/qIYHWe3q8U0gELP4AgMfQ/4133a14e-e156-4df5-b4ec-cabb071ccea9.jpg")</f>
        <v/>
      </c>
      <c r="W108" t="inlineStr">
        <is>
          <t>2026-05-03 22:03:01</t>
        </is>
      </c>
    </row>
    <row r="109">
      <c r="A109" t="inlineStr">
        <is>
          <t>RPC</t>
        </is>
      </c>
      <c r="B109" t="inlineStr">
        <is>
          <t>3623153</t>
        </is>
      </c>
      <c r="C109" t="inlineStr">
        <is>
          <t>Julianna</t>
        </is>
      </c>
      <c r="D109" t="inlineStr">
        <is>
          <t>Ramirez</t>
        </is>
      </c>
      <c r="E109" t="inlineStr">
        <is>
          <t>Yes</t>
        </is>
      </c>
      <c r="F109" t="inlineStr">
        <is>
          <t>Yes</t>
        </is>
      </c>
      <c r="G109" t="inlineStr">
        <is>
          <t>10</t>
        </is>
      </c>
      <c r="H109" t="inlineStr">
        <is>
          <t>pending</t>
        </is>
      </c>
      <c r="I109" t="n">
        <v>1</v>
      </c>
      <c r="J109" t="inlineStr">
        <is>
          <t>Female</t>
        </is>
      </c>
      <c r="K109" t="inlineStr">
        <is>
          <t>2011-03-09</t>
        </is>
      </c>
      <c r="L109" t="n">
        <v>15</v>
      </c>
      <c r="M109" t="inlineStr">
        <is>
          <t>(310) 927-2810</t>
        </is>
      </c>
      <c r="N109" t="inlineStr">
        <is>
          <t>jframirez3911@gmail.com</t>
        </is>
      </c>
      <c r="O109" t="inlineStr">
        <is>
          <t>Consent form status unknown or not provided</t>
        </is>
      </c>
      <c r="P109" t="inlineStr">
        <is>
          <t>1. Correct identity, gender, age range</t>
        </is>
      </c>
      <c r="Q109" t="inlineStr"/>
      <c r="R109" t="inlineStr">
        <is>
          <t>3. Account created on Member Portal and logged in</t>
        </is>
      </c>
      <c r="S109" t="inlineStr">
        <is>
          <t>4. Valid Photo as ID for event check-in</t>
        </is>
      </c>
      <c r="T109" t="inlineStr"/>
      <c r="U109" t="inlineStr"/>
      <c r="V109">
        <f>HYPERLINK("https://chmeetings.blob.core.windows.net/846969/attachments/uRGnrO7OUSC9u9A8qI6Ew/6d913fcf-92fa-46db-92ed-660ade1d2be9.jpg", "https://chmeetings.blob.core.windows.net/846969/attachments/uRGnrO7OUSC9u9A8qI6Ew/6d913fcf-92fa-46db-92ed-660ade1d2be9.jpg")</f>
        <v/>
      </c>
      <c r="W109" t="inlineStr">
        <is>
          <t>2026-05-02 19:36:20</t>
        </is>
      </c>
    </row>
    <row r="110">
      <c r="A110" t="inlineStr">
        <is>
          <t>RPC</t>
        </is>
      </c>
      <c r="B110" t="inlineStr">
        <is>
          <t>4363694</t>
        </is>
      </c>
      <c r="C110" t="inlineStr">
        <is>
          <t>Garrett</t>
        </is>
      </c>
      <c r="D110" t="inlineStr">
        <is>
          <t>Wong</t>
        </is>
      </c>
      <c r="E110" t="inlineStr">
        <is>
          <t>Yes</t>
        </is>
      </c>
      <c r="F110" t="inlineStr">
        <is>
          <t>No</t>
        </is>
      </c>
      <c r="G110" t="inlineStr">
        <is>
          <t>74</t>
        </is>
      </c>
      <c r="H110" t="inlineStr">
        <is>
          <t>pending</t>
        </is>
      </c>
      <c r="I110" t="n">
        <v>1</v>
      </c>
      <c r="J110" t="inlineStr">
        <is>
          <t>Male</t>
        </is>
      </c>
      <c r="K110" t="inlineStr">
        <is>
          <t>2008-12-11</t>
        </is>
      </c>
      <c r="L110" t="n">
        <v>17</v>
      </c>
      <c r="M110" t="inlineStr">
        <is>
          <t>(714) 824-7164</t>
        </is>
      </c>
      <c r="N110" t="inlineStr">
        <is>
          <t>gdog121107@gmail.com</t>
        </is>
      </c>
      <c r="O110" t="inlineStr">
        <is>
          <t>Consent form status unknown or not provided</t>
        </is>
      </c>
      <c r="P110" t="inlineStr"/>
      <c r="Q110" t="inlineStr"/>
      <c r="R110" t="inlineStr"/>
      <c r="S110" t="inlineStr"/>
      <c r="T110" t="inlineStr"/>
      <c r="U110" t="inlineStr"/>
      <c r="V110">
        <f>HYPERLINK("https://chmeetings.blob.core.windows.net/846969/attachments/crHhsVMlEkaqRf4RUhCow/d1e5e08d-8777-4bc6-9d04-9b585c7f3def.jpg", "https://chmeetings.blob.core.windows.net/846969/attachments/crHhsVMlEkaqRf4RUhCow/d1e5e08d-8777-4bc6-9d04-9b585c7f3def.jpg")</f>
        <v/>
      </c>
      <c r="W110" t="inlineStr">
        <is>
          <t>2026-05-03 21:59:14</t>
        </is>
      </c>
    </row>
    <row r="111">
      <c r="A111" t="inlineStr">
        <is>
          <t>RPC</t>
        </is>
      </c>
      <c r="B111" t="inlineStr">
        <is>
          <t>3631500</t>
        </is>
      </c>
      <c r="C111" t="inlineStr">
        <is>
          <t>Thomas</t>
        </is>
      </c>
      <c r="D111" t="inlineStr">
        <is>
          <t>Chau</t>
        </is>
      </c>
      <c r="E111" t="inlineStr">
        <is>
          <t>Yes</t>
        </is>
      </c>
      <c r="F111" t="inlineStr">
        <is>
          <t>Yes</t>
        </is>
      </c>
      <c r="G111" t="inlineStr">
        <is>
          <t>3</t>
        </is>
      </c>
      <c r="H111" t="inlineStr">
        <is>
          <t>approved</t>
        </is>
      </c>
      <c r="I111" t="n">
        <v>0</v>
      </c>
      <c r="J111" t="inlineStr">
        <is>
          <t>Male</t>
        </is>
      </c>
      <c r="K111" t="inlineStr">
        <is>
          <t>2000-05-16</t>
        </is>
      </c>
      <c r="L111" t="n">
        <v>26</v>
      </c>
      <c r="M111" t="inlineStr">
        <is>
          <t>(626) 616-0320</t>
        </is>
      </c>
      <c r="N111" t="inlineStr">
        <is>
          <t>thomaschau2468@gmail.com</t>
        </is>
      </c>
      <c r="O111" t="inlineStr"/>
      <c r="P111" t="inlineStr">
        <is>
          <t>1. Correct identity, gender, age range</t>
        </is>
      </c>
      <c r="Q111" t="inlineStr">
        <is>
          <t>2. Consent Form Signed by Self or Parents</t>
        </is>
      </c>
      <c r="R111" t="inlineStr">
        <is>
          <t>3. Account created on Member Portal and logged in</t>
        </is>
      </c>
      <c r="S111" t="inlineStr">
        <is>
          <t>4. Valid Photo as ID for event check-in</t>
        </is>
      </c>
      <c r="T111" t="inlineStr"/>
      <c r="U111" t="inlineStr"/>
      <c r="V111">
        <f>HYPERLINK("https://chmeetings.blob.core.windows.net/846969/attachments/rifFK8C6ukaBd61Muax2zg/aa81b1ba-79c7-4fa6-95fe-b2e76e624195.jpg", "https://chmeetings.blob.core.windows.net/846969/attachments/rifFK8C6ukaBd61Muax2zg/aa81b1ba-79c7-4fa6-95fe-b2e76e624195.jpg")</f>
        <v/>
      </c>
      <c r="W111" t="inlineStr">
        <is>
          <t>2026-05-02 17:32:43</t>
        </is>
      </c>
    </row>
    <row r="112">
      <c r="A112" t="inlineStr">
        <is>
          <t>RPC</t>
        </is>
      </c>
      <c r="B112" t="inlineStr">
        <is>
          <t>3139537</t>
        </is>
      </c>
      <c r="C112" t="inlineStr">
        <is>
          <t>Timmy</t>
        </is>
      </c>
      <c r="D112" t="inlineStr">
        <is>
          <t>Ho</t>
        </is>
      </c>
      <c r="E112" t="inlineStr">
        <is>
          <t>Yes</t>
        </is>
      </c>
      <c r="F112" t="inlineStr">
        <is>
          <t>Yes</t>
        </is>
      </c>
      <c r="G112" t="inlineStr">
        <is>
          <t>1</t>
        </is>
      </c>
      <c r="H112" t="inlineStr">
        <is>
          <t>validated</t>
        </is>
      </c>
      <c r="I112" t="n">
        <v>0</v>
      </c>
      <c r="J112" t="inlineStr">
        <is>
          <t>Male</t>
        </is>
      </c>
      <c r="K112" t="inlineStr">
        <is>
          <t>1999-11-10</t>
        </is>
      </c>
      <c r="L112" t="n">
        <v>26</v>
      </c>
      <c r="M112" t="inlineStr">
        <is>
          <t>(714) 402-0871</t>
        </is>
      </c>
      <c r="N112" t="inlineStr">
        <is>
          <t>timmyho@gmail.com</t>
        </is>
      </c>
      <c r="O112" t="inlineStr"/>
      <c r="P112" t="inlineStr">
        <is>
          <t>1. Correct identity, gender, age range</t>
        </is>
      </c>
      <c r="Q112" t="inlineStr"/>
      <c r="R112" t="inlineStr">
        <is>
          <t>3. Account created on Member Portal and logged in</t>
        </is>
      </c>
      <c r="S112" t="inlineStr"/>
      <c r="T112" t="inlineStr"/>
      <c r="U112" t="inlineStr"/>
      <c r="V112">
        <f>HYPERLINK("https://chmeetings.blob.core.windows.net/846969/attachments/SnpHAMwrs02Ca3FCo4ZWwQ/d2d98798-711b-4696-8295-52f9363648ed.jpg", "https://chmeetings.blob.core.windows.net/846969/attachments/SnpHAMwrs02Ca3FCo4ZWwQ/d2d98798-711b-4696-8295-52f9363648ed.jpg")</f>
        <v/>
      </c>
      <c r="W112" t="inlineStr">
        <is>
          <t>2026-05-03 18:45:12</t>
        </is>
      </c>
    </row>
    <row r="113">
      <c r="A113" t="inlineStr">
        <is>
          <t>RPC</t>
        </is>
      </c>
      <c r="B113" t="inlineStr">
        <is>
          <t>3618011</t>
        </is>
      </c>
      <c r="C113" t="inlineStr">
        <is>
          <t>Daniel</t>
        </is>
      </c>
      <c r="D113" t="inlineStr">
        <is>
          <t>Kang</t>
        </is>
      </c>
      <c r="E113" t="inlineStr">
        <is>
          <t>Yes</t>
        </is>
      </c>
      <c r="F113" t="inlineStr">
        <is>
          <t>No</t>
        </is>
      </c>
      <c r="G113" t="inlineStr">
        <is>
          <t>5</t>
        </is>
      </c>
      <c r="H113" t="inlineStr">
        <is>
          <t>pending_approval</t>
        </is>
      </c>
      <c r="I113" t="n">
        <v>0</v>
      </c>
      <c r="J113" t="inlineStr">
        <is>
          <t>Male</t>
        </is>
      </c>
      <c r="K113" t="inlineStr">
        <is>
          <t>2000-01-01</t>
        </is>
      </c>
      <c r="L113" t="n">
        <v>26</v>
      </c>
      <c r="M113" t="inlineStr">
        <is>
          <t>(510) 846-6754</t>
        </is>
      </c>
      <c r="N113" t="inlineStr">
        <is>
          <t>dkang1617@gmail.com</t>
        </is>
      </c>
      <c r="O113" t="inlineStr"/>
      <c r="P113" t="inlineStr">
        <is>
          <t>1. Correct identity, gender, age range</t>
        </is>
      </c>
      <c r="Q113" t="inlineStr">
        <is>
          <t>2. Consent Form Signed by Self or Parents</t>
        </is>
      </c>
      <c r="R113" t="inlineStr">
        <is>
          <t>3. Account created on Member Portal and logged in</t>
        </is>
      </c>
      <c r="S113" t="inlineStr">
        <is>
          <t>4. Valid Photo as ID for event check-in</t>
        </is>
      </c>
      <c r="T113" t="inlineStr"/>
      <c r="U113" t="inlineStr"/>
      <c r="V113">
        <f>HYPERLINK("https://chmeetings.blob.core.windows.net/846969/attachments/6OVYqNsD0EIO2D8oWesg/01a47c45-de35-4b60-95bb-c6e2d14b9c31.jpg", "https://chmeetings.blob.core.windows.net/846969/attachments/6OVYqNsD0EIO2D8oWesg/01a47c45-de35-4b60-95bb-c6e2d14b9c31.jpg")</f>
        <v/>
      </c>
      <c r="W113" t="inlineStr">
        <is>
          <t>2026-05-02 19:25:40</t>
        </is>
      </c>
    </row>
    <row r="114">
      <c r="A114" t="inlineStr">
        <is>
          <t>RPC</t>
        </is>
      </c>
      <c r="B114" t="inlineStr">
        <is>
          <t>3623161</t>
        </is>
      </c>
      <c r="C114" t="inlineStr">
        <is>
          <t>Dimitri</t>
        </is>
      </c>
      <c r="D114" t="inlineStr">
        <is>
          <t>Lam</t>
        </is>
      </c>
      <c r="E114" t="inlineStr">
        <is>
          <t>Yes</t>
        </is>
      </c>
      <c r="F114" t="inlineStr">
        <is>
          <t>Yes</t>
        </is>
      </c>
      <c r="G114" t="inlineStr">
        <is>
          <t>73</t>
        </is>
      </c>
      <c r="H114" t="inlineStr">
        <is>
          <t>validated</t>
        </is>
      </c>
      <c r="I114" t="n">
        <v>0</v>
      </c>
      <c r="J114" t="inlineStr">
        <is>
          <t>Male</t>
        </is>
      </c>
      <c r="K114" t="inlineStr">
        <is>
          <t>2001-10-11</t>
        </is>
      </c>
      <c r="L114" t="n">
        <v>24</v>
      </c>
      <c r="M114" t="inlineStr">
        <is>
          <t>(714) 204-9160</t>
        </is>
      </c>
      <c r="N114" t="inlineStr">
        <is>
          <t>Dimitrilam33@gmail.com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>
        <f>HYPERLINK("https://chmeetings.blob.core.windows.net/846969/attachments/zFu5Ye4YuEfPPzx7Tm6w/45aec502-759a-4cc4-ac10-f3507cc30551.jpg", "https://chmeetings.blob.core.windows.net/846969/attachments/zFu5Ye4YuEfPPzx7Tm6w/45aec502-759a-4cc4-ac10-f3507cc30551.jpg")</f>
        <v/>
      </c>
      <c r="W114" t="inlineStr">
        <is>
          <t>2026-05-03 22:07:20</t>
        </is>
      </c>
    </row>
    <row r="115">
      <c r="A115" t="inlineStr">
        <is>
          <t>RPC</t>
        </is>
      </c>
      <c r="B115" t="inlineStr">
        <is>
          <t>3318927</t>
        </is>
      </c>
      <c r="C115" t="inlineStr">
        <is>
          <t>Sam</t>
        </is>
      </c>
      <c r="D115" t="inlineStr">
        <is>
          <t>Le</t>
        </is>
      </c>
      <c r="E115" t="inlineStr">
        <is>
          <t>Yes</t>
        </is>
      </c>
      <c r="F115" t="inlineStr">
        <is>
          <t>Yes</t>
        </is>
      </c>
      <c r="G115" t="inlineStr">
        <is>
          <t>2</t>
        </is>
      </c>
      <c r="H115" t="inlineStr">
        <is>
          <t>pending_approval</t>
        </is>
      </c>
      <c r="I115" t="n">
        <v>0</v>
      </c>
      <c r="J115" t="inlineStr">
        <is>
          <t>Male</t>
        </is>
      </c>
      <c r="K115" t="inlineStr">
        <is>
          <t>1993-09-15</t>
        </is>
      </c>
      <c r="L115" t="n">
        <v>32</v>
      </c>
      <c r="M115" t="inlineStr">
        <is>
          <t>(562) 519-9430</t>
        </is>
      </c>
      <c r="N115" t="inlineStr">
        <is>
          <t>samuel93le@yahoo.com</t>
        </is>
      </c>
      <c r="O115" t="inlineStr"/>
      <c r="P115" t="inlineStr">
        <is>
          <t>1. Correct identity, gender, age range</t>
        </is>
      </c>
      <c r="Q115" t="inlineStr">
        <is>
          <t>2. Consent Form Signed by Self or Parents</t>
        </is>
      </c>
      <c r="R115" t="inlineStr">
        <is>
          <t>3. Account created on Member Portal and logged in</t>
        </is>
      </c>
      <c r="S115" t="inlineStr">
        <is>
          <t>4. Valid Photo as ID for event check-in</t>
        </is>
      </c>
      <c r="T115" t="inlineStr"/>
      <c r="U115" t="inlineStr"/>
      <c r="V115">
        <f>HYPERLINK("https://chmeetings.blob.core.windows.net/846969/attachments/Uf6oqihlIUGVO0UxdqT5Ow/6463a74d-f560-4dd7-950a-48411d288e1b.jpg", "https://chmeetings.blob.core.windows.net/846969/attachments/Uf6oqihlIUGVO0UxdqT5Ow/6463a74d-f560-4dd7-950a-48411d288e1b.jpg")</f>
        <v/>
      </c>
      <c r="W115" t="inlineStr">
        <is>
          <t>2026-05-02 17:08:00</t>
        </is>
      </c>
    </row>
    <row r="116">
      <c r="A116" t="inlineStr">
        <is>
          <t>RPC</t>
        </is>
      </c>
      <c r="B116" t="inlineStr">
        <is>
          <t>3319022</t>
        </is>
      </c>
      <c r="C116" t="inlineStr">
        <is>
          <t>Dean</t>
        </is>
      </c>
      <c r="D116" t="inlineStr">
        <is>
          <t>Nguyen</t>
        </is>
      </c>
      <c r="E116" t="inlineStr">
        <is>
          <t>Yes</t>
        </is>
      </c>
      <c r="F116" t="inlineStr">
        <is>
          <t>Yes</t>
        </is>
      </c>
      <c r="G116" t="inlineStr">
        <is>
          <t>72</t>
        </is>
      </c>
      <c r="H116" t="inlineStr">
        <is>
          <t>validated</t>
        </is>
      </c>
      <c r="I116" t="n">
        <v>0</v>
      </c>
      <c r="J116" t="inlineStr">
        <is>
          <t>Male</t>
        </is>
      </c>
      <c r="K116" t="inlineStr">
        <is>
          <t>2002-10-23</t>
        </is>
      </c>
      <c r="L116" t="n">
        <v>23</v>
      </c>
      <c r="M116" t="inlineStr">
        <is>
          <t>(714) 955-7492</t>
        </is>
      </c>
      <c r="N116" t="inlineStr">
        <is>
          <t>Deanbao3132@gmail.com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>
        <f>HYPERLINK("https://chmeetings.blob.core.windows.net/846969/attachments/wgs7ZEXaUeEkguHnHo1g/c1df6443-764d-4695-a9b9-0a02dd2360f6.jpg", "https://chmeetings.blob.core.windows.net/846969/attachments/wgs7ZEXaUeEkguHnHo1g/c1df6443-764d-4695-a9b9-0a02dd2360f6.jpg")</f>
        <v/>
      </c>
      <c r="W116" t="inlineStr">
        <is>
          <t>2026-05-03 22:01:30</t>
        </is>
      </c>
    </row>
    <row r="117">
      <c r="A117" t="inlineStr">
        <is>
          <t>RPC</t>
        </is>
      </c>
      <c r="B117" t="inlineStr">
        <is>
          <t>3555636</t>
        </is>
      </c>
      <c r="C117" t="inlineStr">
        <is>
          <t>James</t>
        </is>
      </c>
      <c r="D117" t="inlineStr">
        <is>
          <t>Nguyen</t>
        </is>
      </c>
      <c r="E117" t="inlineStr">
        <is>
          <t>Yes</t>
        </is>
      </c>
      <c r="F117" t="inlineStr">
        <is>
          <t>Yes</t>
        </is>
      </c>
      <c r="G117" t="inlineStr">
        <is>
          <t>8</t>
        </is>
      </c>
      <c r="H117" t="inlineStr">
        <is>
          <t>pending_approval</t>
        </is>
      </c>
      <c r="I117" t="n">
        <v>0</v>
      </c>
      <c r="J117" t="inlineStr">
        <is>
          <t>Male</t>
        </is>
      </c>
      <c r="K117" t="inlineStr">
        <is>
          <t>2007-03-29</t>
        </is>
      </c>
      <c r="L117" t="n">
        <v>19</v>
      </c>
      <c r="M117" t="inlineStr">
        <is>
          <t>(657) 678-8212</t>
        </is>
      </c>
      <c r="N117" t="inlineStr">
        <is>
          <t>jamesthesplashdog12345678@gmail.com</t>
        </is>
      </c>
      <c r="O117" t="inlineStr"/>
      <c r="P117" t="inlineStr">
        <is>
          <t>1. Correct identity, gender, age range</t>
        </is>
      </c>
      <c r="Q117" t="inlineStr">
        <is>
          <t>2. Consent Form Signed by Self or Parents</t>
        </is>
      </c>
      <c r="R117" t="inlineStr">
        <is>
          <t>3. Account created on Member Portal and logged in</t>
        </is>
      </c>
      <c r="S117" t="inlineStr">
        <is>
          <t>4. Valid Photo as ID for event check-in</t>
        </is>
      </c>
      <c r="T117" t="inlineStr"/>
      <c r="U117" t="inlineStr"/>
      <c r="V117">
        <f>HYPERLINK("https://chmeetings.blob.core.windows.net/846969/attachments/36FhCP1SVUOsQR7N2tJn1w/7ea62dc3-e494-43d3-847e-27ce2f1891cb.jpg", "https://chmeetings.blob.core.windows.net/846969/attachments/36FhCP1SVUOsQR7N2tJn1w/7ea62dc3-e494-43d3-847e-27ce2f1891cb.jpg")</f>
        <v/>
      </c>
      <c r="W117" t="inlineStr">
        <is>
          <t>2026-05-02 19:25:21</t>
        </is>
      </c>
    </row>
    <row r="118">
      <c r="A118" t="inlineStr">
        <is>
          <t>RPC</t>
        </is>
      </c>
      <c r="B118" t="inlineStr">
        <is>
          <t>3319105</t>
        </is>
      </c>
      <c r="C118" t="inlineStr">
        <is>
          <t>Khoi</t>
        </is>
      </c>
      <c r="D118" t="inlineStr">
        <is>
          <t>Quach</t>
        </is>
      </c>
      <c r="E118" t="inlineStr">
        <is>
          <t>Yes</t>
        </is>
      </c>
      <c r="F118" t="inlineStr">
        <is>
          <t>Yes</t>
        </is>
      </c>
      <c r="G118" t="inlineStr">
        <is>
          <t>11</t>
        </is>
      </c>
      <c r="H118" t="inlineStr">
        <is>
          <t>validated</t>
        </is>
      </c>
      <c r="I118" t="n">
        <v>0</v>
      </c>
      <c r="J118" t="inlineStr">
        <is>
          <t>Male</t>
        </is>
      </c>
      <c r="K118" t="inlineStr">
        <is>
          <t>1999-06-23</t>
        </is>
      </c>
      <c r="L118" t="n">
        <v>27</v>
      </c>
      <c r="M118" t="inlineStr">
        <is>
          <t>(626) 679-7802</t>
        </is>
      </c>
      <c r="N118" t="inlineStr">
        <is>
          <t>Kquach4706@gmail.com</t>
        </is>
      </c>
      <c r="O118" t="inlineStr"/>
      <c r="P118" t="inlineStr">
        <is>
          <t>1. Correct identity, gender, age range</t>
        </is>
      </c>
      <c r="Q118" t="inlineStr"/>
      <c r="R118" t="inlineStr">
        <is>
          <t>3. Account created on Member Portal and logged in</t>
        </is>
      </c>
      <c r="S118" t="inlineStr">
        <is>
          <t>4. Valid Photo as ID for event check-in</t>
        </is>
      </c>
      <c r="T118" t="inlineStr"/>
      <c r="U118" t="inlineStr"/>
      <c r="V118">
        <f>HYPERLINK("https://chmeetings.blob.core.windows.net/846969/attachments/bVZcD2bP0St7ybRoDd4Q/2b49c12a-c936-4b98-ab99-8cdef0996409.jpg", "https://chmeetings.blob.core.windows.net/846969/attachments/bVZcD2bP0St7ybRoDd4Q/2b49c12a-c936-4b98-ab99-8cdef0996409.jpg")</f>
        <v/>
      </c>
      <c r="W118" t="inlineStr">
        <is>
          <t>2026-05-02 19:26:31</t>
        </is>
      </c>
    </row>
    <row r="119">
      <c r="A119" t="inlineStr">
        <is>
          <t>RPC</t>
        </is>
      </c>
      <c r="B119" t="inlineStr">
        <is>
          <t>4363699</t>
        </is>
      </c>
      <c r="C119" t="inlineStr">
        <is>
          <t>Janice</t>
        </is>
      </c>
      <c r="D119" t="inlineStr">
        <is>
          <t>Vu</t>
        </is>
      </c>
      <c r="E119" t="inlineStr">
        <is>
          <t>Yes</t>
        </is>
      </c>
      <c r="F119" t="inlineStr">
        <is>
          <t>No</t>
        </is>
      </c>
      <c r="G119" t="inlineStr">
        <is>
          <t>75</t>
        </is>
      </c>
      <c r="H119" t="inlineStr">
        <is>
          <t>validated</t>
        </is>
      </c>
      <c r="I119" t="n">
        <v>0</v>
      </c>
      <c r="J119" t="inlineStr">
        <is>
          <t>Female</t>
        </is>
      </c>
      <c r="K119" t="inlineStr">
        <is>
          <t>2002-04-19</t>
        </is>
      </c>
      <c r="L119" t="n">
        <v>24</v>
      </c>
      <c r="M119" t="inlineStr">
        <is>
          <t>(714) 989-9158</t>
        </is>
      </c>
      <c r="N119" t="inlineStr">
        <is>
          <t>Janvu545@gmail.com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>
        <f>HYPERLINK("https://chmeetings.blob.core.windows.net/846969/attachments/O0mpFpTI5EuryRbrCKsw/37a73f2c-30f6-4c19-981f-aa31acc8d5a0.jpg", "https://chmeetings.blob.core.windows.net/846969/attachments/O0mpFpTI5EuryRbrCKsw/37a73f2c-30f6-4c19-981f-aa31acc8d5a0.jpg")</f>
        <v/>
      </c>
      <c r="W119" t="inlineStr">
        <is>
          <t>2026-05-03 22:03:02</t>
        </is>
      </c>
    </row>
    <row r="120">
      <c r="A120" t="inlineStr">
        <is>
          <t>RPC</t>
        </is>
      </c>
      <c r="B120" t="inlineStr">
        <is>
          <t>3636092</t>
        </is>
      </c>
      <c r="C120" t="inlineStr">
        <is>
          <t>jennifer</t>
        </is>
      </c>
      <c r="D120" t="inlineStr">
        <is>
          <t>ly</t>
        </is>
      </c>
      <c r="E120" t="inlineStr">
        <is>
          <t>Yes</t>
        </is>
      </c>
      <c r="F120" t="inlineStr">
        <is>
          <t>Yes</t>
        </is>
      </c>
      <c r="G120" t="inlineStr">
        <is>
          <t>76</t>
        </is>
      </c>
      <c r="H120" t="inlineStr">
        <is>
          <t>validated</t>
        </is>
      </c>
      <c r="I120" t="n">
        <v>0</v>
      </c>
      <c r="J120" t="inlineStr">
        <is>
          <t>Female</t>
        </is>
      </c>
      <c r="K120" t="inlineStr">
        <is>
          <t>2005-05-20</t>
        </is>
      </c>
      <c r="L120" t="n">
        <v>21</v>
      </c>
      <c r="M120" t="inlineStr">
        <is>
          <t>(714) 331-4416</t>
        </is>
      </c>
      <c r="N120" t="inlineStr">
        <is>
          <t>jefferly7899@gmail.com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>
        <f>HYPERLINK("https://chmeetings.blob.core.windows.net/846969/attachments/QKmokAHgD0CRoagnLQrkgw/bafd016a-9ab5-4d54-abbf-d878d7795f2a.jpg", "https://chmeetings.blob.core.windows.net/846969/attachments/QKmokAHgD0CRoagnLQrkgw/bafd016a-9ab5-4d54-abbf-d878d7795f2a.jpg")</f>
        <v/>
      </c>
      <c r="W120" t="inlineStr">
        <is>
          <t>2026-05-03 21:51:38</t>
        </is>
      </c>
    </row>
    <row r="121">
      <c r="A121" t="inlineStr">
        <is>
          <t>RPC</t>
        </is>
      </c>
      <c r="B121" t="inlineStr">
        <is>
          <t>3616816</t>
        </is>
      </c>
      <c r="C121" t="inlineStr">
        <is>
          <t>Chloe</t>
        </is>
      </c>
      <c r="D121" t="inlineStr">
        <is>
          <t>Hoang</t>
        </is>
      </c>
      <c r="E121" t="inlineStr">
        <is>
          <t>No</t>
        </is>
      </c>
      <c r="F121" t="inlineStr">
        <is>
          <t>Yes</t>
        </is>
      </c>
      <c r="G121" t="n">
        <v>0</v>
      </c>
      <c r="H121" t="inlineStr">
        <is>
          <t>N/A</t>
        </is>
      </c>
      <c r="I121" t="n">
        <v>0</v>
      </c>
      <c r="J121" t="inlineStr">
        <is>
          <t>Female</t>
        </is>
      </c>
      <c r="K121" t="inlineStr">
        <is>
          <t>2011-06-13</t>
        </is>
      </c>
      <c r="L121" t="n">
        <v>15</v>
      </c>
      <c r="M121" t="inlineStr">
        <is>
          <t>(657) 502-9676</t>
        </is>
      </c>
      <c r="N121" t="inlineStr">
        <is>
          <t>chloe.samantha.hoang@gmail.com</t>
        </is>
      </c>
      <c r="O121" t="inlineStr"/>
      <c r="P121" t="inlineStr">
        <is>
          <t>1. Correct identity, gender, age range</t>
        </is>
      </c>
      <c r="Q121" t="inlineStr"/>
      <c r="R121" t="inlineStr">
        <is>
          <t>3. Account created on Member Portal and logged in</t>
        </is>
      </c>
      <c r="S121" t="inlineStr">
        <is>
          <t>4. Valid Photo as ID for event check-in</t>
        </is>
      </c>
      <c r="T121" t="inlineStr"/>
      <c r="U121" t="inlineStr"/>
      <c r="V121" t="inlineStr">
        <is>
          <t>N/A</t>
        </is>
      </c>
      <c r="W121" t="inlineStr">
        <is>
          <t>2026-05-02 19:52:36</t>
        </is>
      </c>
    </row>
    <row r="122">
      <c r="A122" t="inlineStr">
        <is>
          <t>RPC</t>
        </is>
      </c>
      <c r="B122" t="inlineStr">
        <is>
          <t>3318813</t>
        </is>
      </c>
      <c r="C122" t="inlineStr">
        <is>
          <t>Kailah</t>
        </is>
      </c>
      <c r="D122" t="inlineStr">
        <is>
          <t>Tsai</t>
        </is>
      </c>
      <c r="E122" t="inlineStr">
        <is>
          <t>No</t>
        </is>
      </c>
      <c r="F122" t="inlineStr">
        <is>
          <t>Yes</t>
        </is>
      </c>
      <c r="G122" t="n">
        <v>0</v>
      </c>
      <c r="H122" t="inlineStr">
        <is>
          <t>N/A</t>
        </is>
      </c>
      <c r="I122" t="n">
        <v>0</v>
      </c>
      <c r="J122" t="inlineStr">
        <is>
          <t>Female</t>
        </is>
      </c>
      <c r="K122" t="inlineStr"/>
      <c r="L122" t="inlineStr"/>
      <c r="M122" t="inlineStr">
        <is>
          <t>(714) 860-2020</t>
        </is>
      </c>
      <c r="N122" t="inlineStr">
        <is>
          <t>shilah.tsai@hboptometry.com</t>
        </is>
      </c>
      <c r="O122" t="inlineStr"/>
      <c r="P122" t="inlineStr"/>
      <c r="Q122" t="inlineStr"/>
      <c r="R122" t="inlineStr">
        <is>
          <t>3. Account created on Member Portal and logged in</t>
        </is>
      </c>
      <c r="S122" t="inlineStr"/>
      <c r="T122" t="inlineStr"/>
      <c r="U122" t="inlineStr"/>
      <c r="V122" t="inlineStr">
        <is>
          <t>N/A</t>
        </is>
      </c>
      <c r="W122" t="inlineStr">
        <is>
          <t>2026-05-03 13:01:24</t>
        </is>
      </c>
    </row>
    <row r="123">
      <c r="A123" t="inlineStr">
        <is>
          <t>SDC</t>
        </is>
      </c>
      <c r="B123" t="inlineStr">
        <is>
          <t>4363696</t>
        </is>
      </c>
      <c r="C123" t="inlineStr">
        <is>
          <t>Orion</t>
        </is>
      </c>
      <c r="D123" t="inlineStr">
        <is>
          <t>Le</t>
        </is>
      </c>
      <c r="E123" t="inlineStr">
        <is>
          <t>Yes</t>
        </is>
      </c>
      <c r="F123" t="inlineStr">
        <is>
          <t>No</t>
        </is>
      </c>
      <c r="G123" t="inlineStr">
        <is>
          <t>85</t>
        </is>
      </c>
      <c r="H123" t="inlineStr">
        <is>
          <t>pending</t>
        </is>
      </c>
      <c r="I123" t="n">
        <v>1</v>
      </c>
      <c r="J123" t="inlineStr">
        <is>
          <t>Male</t>
        </is>
      </c>
      <c r="K123" t="inlineStr">
        <is>
          <t>2011-05-24</t>
        </is>
      </c>
      <c r="L123" t="n">
        <v>15</v>
      </c>
      <c r="M123" t="inlineStr">
        <is>
          <t>(619) 636-9029</t>
        </is>
      </c>
      <c r="N123" t="inlineStr">
        <is>
          <t>orionkle@gmail.com</t>
        </is>
      </c>
      <c r="O123" t="inlineStr">
        <is>
          <t>Consent form status unknown or not provided</t>
        </is>
      </c>
      <c r="P123" t="inlineStr"/>
      <c r="Q123" t="inlineStr"/>
      <c r="R123" t="inlineStr"/>
      <c r="S123" t="inlineStr"/>
      <c r="T123" t="inlineStr"/>
      <c r="U123" t="inlineStr"/>
      <c r="V123">
        <f>HYPERLINK("https://chmeetings.blob.core.windows.net/846969/attachments/WkUK8P2AT02DuSP93vzyQ/de3c4b81-ac76-4773-9f41-3dbbfdb4c639.jpg", "https://chmeetings.blob.core.windows.net/846969/attachments/WkUK8P2AT02DuSP93vzyQ/de3c4b81-ac76-4773-9f41-3dbbfdb4c639.jpg")</f>
        <v/>
      </c>
      <c r="W123" t="inlineStr">
        <is>
          <t>2026-05-03 21:59:15</t>
        </is>
      </c>
    </row>
    <row r="124">
      <c r="A124" t="inlineStr">
        <is>
          <t>SDC</t>
        </is>
      </c>
      <c r="B124" t="inlineStr">
        <is>
          <t>3631498</t>
        </is>
      </c>
      <c r="C124" t="inlineStr">
        <is>
          <t>Peter</t>
        </is>
      </c>
      <c r="D124" t="inlineStr">
        <is>
          <t>Tu</t>
        </is>
      </c>
      <c r="E124" t="inlineStr">
        <is>
          <t>Yes</t>
        </is>
      </c>
      <c r="F124" t="inlineStr">
        <is>
          <t>Yes</t>
        </is>
      </c>
      <c r="G124" t="inlineStr">
        <is>
          <t>23</t>
        </is>
      </c>
      <c r="H124" t="inlineStr">
        <is>
          <t>pending</t>
        </is>
      </c>
      <c r="I124" t="n">
        <v>1</v>
      </c>
      <c r="J124" t="inlineStr">
        <is>
          <t>Male</t>
        </is>
      </c>
      <c r="K124" t="inlineStr">
        <is>
          <t>2010-05-27</t>
        </is>
      </c>
      <c r="L124" t="n">
        <v>16</v>
      </c>
      <c r="M124" t="inlineStr">
        <is>
          <t>(619) 850-3146</t>
        </is>
      </c>
      <c r="N124" t="inlineStr">
        <is>
          <t>22petertu@gmail.com</t>
        </is>
      </c>
      <c r="O124" t="inlineStr">
        <is>
          <t>Consent form status unknown or not provided</t>
        </is>
      </c>
      <c r="P124" t="inlineStr"/>
      <c r="Q124" t="inlineStr"/>
      <c r="R124" t="inlineStr"/>
      <c r="S124" t="inlineStr"/>
      <c r="T124" t="inlineStr"/>
      <c r="U124" t="inlineStr"/>
      <c r="V124">
        <f>HYPERLINK("https://chmeetings.blob.core.windows.net/846969/attachments/JaOKRnWgzU2Ets1hKETkyg/1245d6dc-fe84-45e5-a936-90755a825089.jpg", "https://chmeetings.blob.core.windows.net/846969/attachments/JaOKRnWgzU2Ets1hKETkyg/1245d6dc-fe84-45e5-a936-90755a825089.jpg")</f>
        <v/>
      </c>
      <c r="W124" t="inlineStr">
        <is>
          <t>2026-05-02 19:51:07</t>
        </is>
      </c>
    </row>
    <row r="125">
      <c r="A125" t="inlineStr">
        <is>
          <t>SDC</t>
        </is>
      </c>
      <c r="B125" t="inlineStr">
        <is>
          <t>3634404</t>
        </is>
      </c>
      <c r="C125" t="inlineStr">
        <is>
          <t>Kenneth</t>
        </is>
      </c>
      <c r="D125" t="inlineStr">
        <is>
          <t>Cruz Matias</t>
        </is>
      </c>
      <c r="E125" t="inlineStr">
        <is>
          <t>Yes</t>
        </is>
      </c>
      <c r="F125" t="inlineStr">
        <is>
          <t>Yes</t>
        </is>
      </c>
      <c r="G125" t="inlineStr">
        <is>
          <t>21</t>
        </is>
      </c>
      <c r="H125" t="inlineStr">
        <is>
          <t>validated</t>
        </is>
      </c>
      <c r="I125" t="n">
        <v>0</v>
      </c>
      <c r="J125" t="inlineStr">
        <is>
          <t>Male</t>
        </is>
      </c>
      <c r="K125" t="inlineStr">
        <is>
          <t>2002-11-28</t>
        </is>
      </c>
      <c r="L125" t="n">
        <v>23</v>
      </c>
      <c r="M125" t="inlineStr">
        <is>
          <t>(442) 237-8092</t>
        </is>
      </c>
      <c r="N125" t="inlineStr">
        <is>
          <t>cruzmatiaskenny8@gmail.com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>
        <f>HYPERLINK("https://chmeetings.blob.core.windows.net/846969/attachments/Ws07x9gR0wAZUSi1q5NQ/dfab0bcf-a4de-43d1-9a71-2a3478c9db6c.jpg", "https://chmeetings.blob.core.windows.net/846969/attachments/Ws07x9gR0wAZUSi1q5NQ/dfab0bcf-a4de-43d1-9a71-2a3478c9db6c.jpg")</f>
        <v/>
      </c>
      <c r="W125" t="inlineStr">
        <is>
          <t>2026-05-02 20:07:44</t>
        </is>
      </c>
    </row>
    <row r="126">
      <c r="A126" t="inlineStr">
        <is>
          <t>SDC</t>
        </is>
      </c>
      <c r="B126" t="inlineStr">
        <is>
          <t>4361930</t>
        </is>
      </c>
      <c r="C126" t="inlineStr">
        <is>
          <t>Quang</t>
        </is>
      </c>
      <c r="D126" t="inlineStr">
        <is>
          <t>Duong</t>
        </is>
      </c>
      <c r="E126" t="inlineStr">
        <is>
          <t>Yes</t>
        </is>
      </c>
      <c r="F126" t="inlineStr">
        <is>
          <t>Yes</t>
        </is>
      </c>
      <c r="G126" t="inlineStr">
        <is>
          <t>24</t>
        </is>
      </c>
      <c r="H126" t="inlineStr">
        <is>
          <t>validated</t>
        </is>
      </c>
      <c r="I126" t="n">
        <v>0</v>
      </c>
      <c r="J126" t="inlineStr">
        <is>
          <t>Male</t>
        </is>
      </c>
      <c r="K126" t="inlineStr">
        <is>
          <t>2002-05-31</t>
        </is>
      </c>
      <c r="L126" t="n">
        <v>24</v>
      </c>
      <c r="M126" t="inlineStr">
        <is>
          <t>(619) 638-9596</t>
        </is>
      </c>
      <c r="N126" t="inlineStr">
        <is>
          <t>Qduong2605@gmail.com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>
        <f>HYPERLINK("https://chmeetings.blob.core.windows.net/846969/attachments/TkKY4kXMsECC0RXzudZ5tA/b84f2b40-fd84-416f-b1fe-87a8d863a84b.jpg", "https://chmeetings.blob.core.windows.net/846969/attachments/TkKY4kXMsECC0RXzudZ5tA/b84f2b40-fd84-416f-b1fe-87a8d863a84b.jpg")</f>
        <v/>
      </c>
      <c r="W126" t="inlineStr">
        <is>
          <t>2026-05-02 19:51:55</t>
        </is>
      </c>
    </row>
    <row r="127">
      <c r="A127" t="inlineStr">
        <is>
          <t>SDC</t>
        </is>
      </c>
      <c r="B127" t="inlineStr">
        <is>
          <t>3476582</t>
        </is>
      </c>
      <c r="C127" t="inlineStr">
        <is>
          <t>Viet</t>
        </is>
      </c>
      <c r="D127" t="inlineStr">
        <is>
          <t>Duong</t>
        </is>
      </c>
      <c r="E127" t="inlineStr">
        <is>
          <t>Yes</t>
        </is>
      </c>
      <c r="F127" t="inlineStr">
        <is>
          <t>Yes</t>
        </is>
      </c>
      <c r="G127" t="inlineStr">
        <is>
          <t>25</t>
        </is>
      </c>
      <c r="H127" t="inlineStr">
        <is>
          <t>validated</t>
        </is>
      </c>
      <c r="I127" t="n">
        <v>0</v>
      </c>
      <c r="J127" t="inlineStr">
        <is>
          <t>Male</t>
        </is>
      </c>
      <c r="K127" t="inlineStr">
        <is>
          <t>2000-10-31</t>
        </is>
      </c>
      <c r="L127" t="n">
        <v>25</v>
      </c>
      <c r="M127" t="inlineStr">
        <is>
          <t>(619) 227-8495</t>
        </is>
      </c>
      <c r="N127" t="inlineStr">
        <is>
          <t>vietduong152205@gmail.com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>
        <f>HYPERLINK("https://chmeetings.blob.core.windows.net/846969/attachments/Pnw3aHD5hEqlDsZTqeNkA/461b41a2-6769-490c-a301-c265e90ad64e.jpg", "https://chmeetings.blob.core.windows.net/846969/attachments/Pnw3aHD5hEqlDsZTqeNkA/461b41a2-6769-490c-a301-c265e90ad64e.jpg")</f>
        <v/>
      </c>
      <c r="W127" t="inlineStr">
        <is>
          <t>2026-05-02 20:06:49</t>
        </is>
      </c>
    </row>
    <row r="128">
      <c r="A128" t="inlineStr">
        <is>
          <t>SDC</t>
        </is>
      </c>
      <c r="B128" t="inlineStr">
        <is>
          <t>3635297</t>
        </is>
      </c>
      <c r="C128" t="inlineStr">
        <is>
          <t>Austin</t>
        </is>
      </c>
      <c r="D128" t="inlineStr">
        <is>
          <t>Huynh</t>
        </is>
      </c>
      <c r="E128" t="inlineStr">
        <is>
          <t>Yes</t>
        </is>
      </c>
      <c r="F128" t="inlineStr">
        <is>
          <t>Yes</t>
        </is>
      </c>
      <c r="G128" t="inlineStr">
        <is>
          <t>80</t>
        </is>
      </c>
      <c r="H128" t="inlineStr">
        <is>
          <t>validated</t>
        </is>
      </c>
      <c r="I128" t="n">
        <v>0</v>
      </c>
      <c r="J128" t="inlineStr">
        <is>
          <t>Male</t>
        </is>
      </c>
      <c r="K128" t="inlineStr">
        <is>
          <t>2006-01-31</t>
        </is>
      </c>
      <c r="L128" t="n">
        <v>20</v>
      </c>
      <c r="M128" t="inlineStr">
        <is>
          <t>(858) 880-6520</t>
        </is>
      </c>
      <c r="N128" t="inlineStr">
        <is>
          <t>aahuynh2006@gmail.com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>
        <f>HYPERLINK("https://chmeetings.blob.core.windows.net/846969/attachments/1JIaBiZw5UyOOxG8LNs6jw/c5690af5-0305-4818-b5f0-4e91868e4dd4.jpg", "https://chmeetings.blob.core.windows.net/846969/attachments/1JIaBiZw5UyOOxG8LNs6jw/c5690af5-0305-4818-b5f0-4e91868e4dd4.jpg")</f>
        <v/>
      </c>
      <c r="W128" t="inlineStr">
        <is>
          <t>2026-05-03 22:00:01</t>
        </is>
      </c>
    </row>
    <row r="129">
      <c r="A129" t="inlineStr">
        <is>
          <t>SDC</t>
        </is>
      </c>
      <c r="B129" t="inlineStr">
        <is>
          <t>3636572</t>
        </is>
      </c>
      <c r="C129" t="inlineStr">
        <is>
          <t>Jacob</t>
        </is>
      </c>
      <c r="D129" t="inlineStr">
        <is>
          <t>Huynh</t>
        </is>
      </c>
      <c r="E129" t="inlineStr">
        <is>
          <t>Yes</t>
        </is>
      </c>
      <c r="F129" t="inlineStr">
        <is>
          <t>Yes</t>
        </is>
      </c>
      <c r="G129" t="inlineStr">
        <is>
          <t>82</t>
        </is>
      </c>
      <c r="H129" t="inlineStr">
        <is>
          <t>validated</t>
        </is>
      </c>
      <c r="I129" t="n">
        <v>0</v>
      </c>
      <c r="J129" t="inlineStr">
        <is>
          <t>Male</t>
        </is>
      </c>
      <c r="K129" t="inlineStr">
        <is>
          <t>2003-03-25</t>
        </is>
      </c>
      <c r="L129" t="n">
        <v>23</v>
      </c>
      <c r="M129" t="inlineStr">
        <is>
          <t>(858) 375-6646</t>
        </is>
      </c>
      <c r="N129" t="inlineStr">
        <is>
          <t>JACOBHUYNH09@GMAIL.COM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>
        <f>HYPERLINK("https://chmeetings.blob.core.windows.net/846969/attachments/Kfbvgrxge0GMOiKuoSztng/704fbe0f-6065-4a44-95c1-1f57f4eba03d.jpg", "https://chmeetings.blob.core.windows.net/846969/attachments/Kfbvgrxge0GMOiKuoSztng/704fbe0f-6065-4a44-95c1-1f57f4eba03d.jpg")</f>
        <v/>
      </c>
      <c r="W129" t="inlineStr">
        <is>
          <t>2026-05-03 21:52:28</t>
        </is>
      </c>
    </row>
    <row r="130">
      <c r="A130" t="inlineStr">
        <is>
          <t>SDC</t>
        </is>
      </c>
      <c r="B130" t="inlineStr">
        <is>
          <t>3632190</t>
        </is>
      </c>
      <c r="C130" t="inlineStr">
        <is>
          <t>Andrew</t>
        </is>
      </c>
      <c r="D130" t="inlineStr">
        <is>
          <t>Mai</t>
        </is>
      </c>
      <c r="E130" t="inlineStr">
        <is>
          <t>Yes</t>
        </is>
      </c>
      <c r="F130" t="inlineStr">
        <is>
          <t>Yes</t>
        </is>
      </c>
      <c r="G130" t="inlineStr">
        <is>
          <t>19</t>
        </is>
      </c>
      <c r="H130" t="inlineStr">
        <is>
          <t>validated</t>
        </is>
      </c>
      <c r="I130" t="n">
        <v>0</v>
      </c>
      <c r="J130" t="inlineStr">
        <is>
          <t>Male</t>
        </is>
      </c>
      <c r="K130" t="inlineStr">
        <is>
          <t>2002-03-31</t>
        </is>
      </c>
      <c r="L130" t="n">
        <v>24</v>
      </c>
      <c r="M130" t="inlineStr">
        <is>
          <t>(858) 610-3688</t>
        </is>
      </c>
      <c r="N130" t="inlineStr">
        <is>
          <t>andrewmai78@gmail.com</t>
        </is>
      </c>
      <c r="O130" t="inlineStr"/>
      <c r="P130" t="inlineStr">
        <is>
          <t>1. Correct identity, gender, age range</t>
        </is>
      </c>
      <c r="Q130" t="inlineStr">
        <is>
          <t>2. Consent Form Signed by Self or Parents</t>
        </is>
      </c>
      <c r="R130" t="inlineStr"/>
      <c r="S130" t="inlineStr">
        <is>
          <t>4. Valid Photo as ID for event check-in</t>
        </is>
      </c>
      <c r="T130" t="inlineStr"/>
      <c r="U130" t="inlineStr"/>
      <c r="V130">
        <f>HYPERLINK("https://chmeetings.blob.core.windows.net/846969/attachments/v0KbVU03nUuXUrWpKoeQBA/635703c8-a438-4dc9-8ba8-8dc18fd00312.jpg", "https://chmeetings.blob.core.windows.net/846969/attachments/v0KbVU03nUuXUrWpKoeQBA/635703c8-a438-4dc9-8ba8-8dc18fd00312.jpg")</f>
        <v/>
      </c>
      <c r="W130" t="inlineStr">
        <is>
          <t>2026-05-02 19:47:00</t>
        </is>
      </c>
    </row>
    <row r="131">
      <c r="A131" t="inlineStr">
        <is>
          <t>SDC</t>
        </is>
      </c>
      <c r="B131" t="inlineStr">
        <is>
          <t>3631509</t>
        </is>
      </c>
      <c r="C131" t="inlineStr">
        <is>
          <t>Christine</t>
        </is>
      </c>
      <c r="D131" t="inlineStr">
        <is>
          <t>Ngo</t>
        </is>
      </c>
      <c r="E131" t="inlineStr">
        <is>
          <t>Yes</t>
        </is>
      </c>
      <c r="F131" t="inlineStr">
        <is>
          <t>Yes</t>
        </is>
      </c>
      <c r="G131" t="inlineStr">
        <is>
          <t>81</t>
        </is>
      </c>
      <c r="H131" t="inlineStr">
        <is>
          <t>validated</t>
        </is>
      </c>
      <c r="I131" t="n">
        <v>0</v>
      </c>
      <c r="J131" t="inlineStr">
        <is>
          <t>Female</t>
        </is>
      </c>
      <c r="K131" t="inlineStr">
        <is>
          <t>2001-02-14</t>
        </is>
      </c>
      <c r="L131" t="n">
        <v>25</v>
      </c>
      <c r="M131" t="inlineStr">
        <is>
          <t>(858) 531-0418</t>
        </is>
      </c>
      <c r="N131" t="inlineStr">
        <is>
          <t>ctngo23@gmail.com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>
        <f>HYPERLINK("https://chmeetings.blob.core.windows.net/846969/attachments/qHFzw2su0EaXZVKX3nFTw/64676df0-467f-47ec-9834-a4285178e62b.jpg", "https://chmeetings.blob.core.windows.net/846969/attachments/qHFzw2su0EaXZVKX3nFTw/64676df0-467f-47ec-9834-a4285178e62b.jpg")</f>
        <v/>
      </c>
      <c r="W131" t="inlineStr">
        <is>
          <t>2026-05-03 21:51:51</t>
        </is>
      </c>
    </row>
    <row r="132">
      <c r="A132" t="inlineStr">
        <is>
          <t>SDC</t>
        </is>
      </c>
      <c r="B132" t="inlineStr">
        <is>
          <t>3634932</t>
        </is>
      </c>
      <c r="C132" t="inlineStr">
        <is>
          <t>Esther</t>
        </is>
      </c>
      <c r="D132" t="inlineStr">
        <is>
          <t>Ngo</t>
        </is>
      </c>
      <c r="E132" t="inlineStr">
        <is>
          <t>Yes</t>
        </is>
      </c>
      <c r="F132" t="inlineStr">
        <is>
          <t>Yes</t>
        </is>
      </c>
      <c r="G132" t="inlineStr">
        <is>
          <t>20</t>
        </is>
      </c>
      <c r="H132" t="inlineStr">
        <is>
          <t>validated</t>
        </is>
      </c>
      <c r="I132" t="n">
        <v>0</v>
      </c>
      <c r="J132" t="inlineStr">
        <is>
          <t>Female</t>
        </is>
      </c>
      <c r="K132" t="inlineStr">
        <is>
          <t>2003-05-30</t>
        </is>
      </c>
      <c r="L132" t="n">
        <v>23</v>
      </c>
      <c r="M132" t="inlineStr">
        <is>
          <t>(619) 301-7384</t>
        </is>
      </c>
      <c r="N132" t="inlineStr">
        <is>
          <t>esther.ngo1222@gmail.com</t>
        </is>
      </c>
      <c r="O132" t="inlineStr"/>
      <c r="P132" t="inlineStr">
        <is>
          <t>1. Correct identity, gender, age range</t>
        </is>
      </c>
      <c r="Q132" t="inlineStr">
        <is>
          <t>2. Consent Form Signed by Self or Parents</t>
        </is>
      </c>
      <c r="R132" t="inlineStr"/>
      <c r="S132" t="inlineStr">
        <is>
          <t>4. Valid Photo as ID for event check-in</t>
        </is>
      </c>
      <c r="T132" t="inlineStr"/>
      <c r="U132" t="inlineStr"/>
      <c r="V132">
        <f>HYPERLINK("https://chmeetings.blob.core.windows.net/846969/attachments/WqLDZlxmt0iD9mbVC64Uw/f643734c-922a-40e4-8cd8-24b44d5a9b84.jpg", "https://chmeetings.blob.core.windows.net/846969/attachments/WqLDZlxmt0iD9mbVC64Uw/f643734c-922a-40e4-8cd8-24b44d5a9b84.jpg")</f>
        <v/>
      </c>
      <c r="W132" t="inlineStr">
        <is>
          <t>2026-05-02 20:05:01</t>
        </is>
      </c>
    </row>
    <row r="133">
      <c r="A133" t="inlineStr">
        <is>
          <t>SDC</t>
        </is>
      </c>
      <c r="B133" t="inlineStr">
        <is>
          <t>4361942</t>
        </is>
      </c>
      <c r="C133" t="inlineStr">
        <is>
          <t>Ly</t>
        </is>
      </c>
      <c r="D133" t="inlineStr">
        <is>
          <t>Nguyen</t>
        </is>
      </c>
      <c r="E133" t="inlineStr">
        <is>
          <t>Yes</t>
        </is>
      </c>
      <c r="F133" t="inlineStr">
        <is>
          <t>Yes</t>
        </is>
      </c>
      <c r="G133" t="inlineStr">
        <is>
          <t>22</t>
        </is>
      </c>
      <c r="H133" t="inlineStr">
        <is>
          <t>validated</t>
        </is>
      </c>
      <c r="I133" t="n">
        <v>0</v>
      </c>
      <c r="J133" t="inlineStr">
        <is>
          <t>Female</t>
        </is>
      </c>
      <c r="K133" t="inlineStr">
        <is>
          <t>2003-08-18</t>
        </is>
      </c>
      <c r="L133" t="n">
        <v>22</v>
      </c>
      <c r="M133" t="inlineStr">
        <is>
          <t>(619) 724-8444</t>
        </is>
      </c>
      <c r="N133" t="inlineStr">
        <is>
          <t>Nguyenly0818@yahoo.com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>
        <f>HYPERLINK("https://chmeetings.blob.core.windows.net/846969/attachments/oBxVmMKo9U2QdhPSUPgpfg/1595e1f5-6f42-49d1-a76e-b49ba082ce9e.jpg", "https://chmeetings.blob.core.windows.net/846969/attachments/oBxVmMKo9U2QdhPSUPgpfg/1595e1f5-6f42-49d1-a76e-b49ba082ce9e.jpg")</f>
        <v/>
      </c>
      <c r="W133" t="inlineStr">
        <is>
          <t>2026-05-02 20:07:16</t>
        </is>
      </c>
    </row>
    <row r="134">
      <c r="A134" t="inlineStr">
        <is>
          <t>SDC</t>
        </is>
      </c>
      <c r="B134" t="inlineStr">
        <is>
          <t>3635885</t>
        </is>
      </c>
      <c r="C134" t="inlineStr">
        <is>
          <t>Nathan</t>
        </is>
      </c>
      <c r="D134" t="inlineStr">
        <is>
          <t>Nguyen</t>
        </is>
      </c>
      <c r="E134" t="inlineStr">
        <is>
          <t>Yes</t>
        </is>
      </c>
      <c r="F134" t="inlineStr">
        <is>
          <t>Yes</t>
        </is>
      </c>
      <c r="G134" t="inlineStr">
        <is>
          <t>84</t>
        </is>
      </c>
      <c r="H134" t="inlineStr">
        <is>
          <t>validated</t>
        </is>
      </c>
      <c r="I134" t="n">
        <v>0</v>
      </c>
      <c r="J134" t="inlineStr">
        <is>
          <t>Male</t>
        </is>
      </c>
      <c r="K134" t="inlineStr">
        <is>
          <t>2008-01-30</t>
        </is>
      </c>
      <c r="L134" t="n">
        <v>18</v>
      </c>
      <c r="M134" t="inlineStr">
        <is>
          <t>(619) 218-6042</t>
        </is>
      </c>
      <c r="N134" t="inlineStr">
        <is>
          <t>nathan.cv.nguyen@gmail.com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>
        <f>HYPERLINK("https://chmeetings.blob.core.windows.net/846969/attachments/r1jarmgNdU2vRI9LrvQIug/afb53597-c751-4247-a104-a4129b1f39e6.jpg", "https://chmeetings.blob.core.windows.net/846969/attachments/r1jarmgNdU2vRI9LrvQIug/afb53597-c751-4247-a104-a4129b1f39e6.jpg")</f>
        <v/>
      </c>
      <c r="W134" t="inlineStr">
        <is>
          <t>2026-05-03 21:51:26</t>
        </is>
      </c>
    </row>
    <row r="135">
      <c r="A135" t="inlineStr">
        <is>
          <t>SDC</t>
        </is>
      </c>
      <c r="B135" t="inlineStr">
        <is>
          <t>3554516</t>
        </is>
      </c>
      <c r="C135" t="inlineStr">
        <is>
          <t>Katie</t>
        </is>
      </c>
      <c r="D135" t="inlineStr">
        <is>
          <t>Tu</t>
        </is>
      </c>
      <c r="E135" t="inlineStr">
        <is>
          <t>Yes</t>
        </is>
      </c>
      <c r="F135" t="inlineStr">
        <is>
          <t>Yes</t>
        </is>
      </c>
      <c r="G135" t="inlineStr">
        <is>
          <t>83</t>
        </is>
      </c>
      <c r="H135" t="inlineStr">
        <is>
          <t>validated</t>
        </is>
      </c>
      <c r="I135" t="n">
        <v>0</v>
      </c>
      <c r="J135" t="inlineStr">
        <is>
          <t>Female</t>
        </is>
      </c>
      <c r="K135" t="inlineStr">
        <is>
          <t>2002-09-01</t>
        </is>
      </c>
      <c r="L135" t="n">
        <v>23</v>
      </c>
      <c r="M135" t="inlineStr">
        <is>
          <t>(619) 514-9303</t>
        </is>
      </c>
      <c r="N135" t="inlineStr">
        <is>
          <t>katietuu@gmail.com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>
        <f>HYPERLINK("https://chmeetings.blob.core.windows.net/846969/attachments/bqJr0cNbxkGuCD7FEwTwSg/5d344889-f820-4fd5-b45c-f7d157a0386e.jpg", "https://chmeetings.blob.core.windows.net/846969/attachments/bqJr0cNbxkGuCD7FEwTwSg/5d344889-f820-4fd5-b45c-f7d157a0386e.jpg")</f>
        <v/>
      </c>
      <c r="W135" t="inlineStr">
        <is>
          <t>2026-05-03 21:59:50</t>
        </is>
      </c>
    </row>
    <row r="136">
      <c r="A136" t="inlineStr">
        <is>
          <t>TLC</t>
        </is>
      </c>
      <c r="B136" t="inlineStr">
        <is>
          <t>4361932</t>
        </is>
      </c>
      <c r="C136" t="inlineStr">
        <is>
          <t>Michelle</t>
        </is>
      </c>
      <c r="D136" t="inlineStr">
        <is>
          <t>Nguyen</t>
        </is>
      </c>
      <c r="E136" t="inlineStr">
        <is>
          <t>Yes</t>
        </is>
      </c>
      <c r="F136" t="inlineStr">
        <is>
          <t>Yes</t>
        </is>
      </c>
      <c r="G136" t="inlineStr">
        <is>
          <t>29</t>
        </is>
      </c>
      <c r="H136" t="inlineStr">
        <is>
          <t>pending</t>
        </is>
      </c>
      <c r="I136" t="n">
        <v>1</v>
      </c>
      <c r="J136" t="inlineStr">
        <is>
          <t>Female</t>
        </is>
      </c>
      <c r="K136" t="inlineStr">
        <is>
          <t>2013-03-15</t>
        </is>
      </c>
      <c r="L136" t="n">
        <v>13</v>
      </c>
      <c r="M136" t="inlineStr">
        <is>
          <t>(714) 466-5359</t>
        </is>
      </c>
      <c r="N136" t="inlineStr">
        <is>
          <t>michellephuongng@gmail.com</t>
        </is>
      </c>
      <c r="O136" t="inlineStr">
        <is>
          <t>Consent form status unknown or not provided</t>
        </is>
      </c>
      <c r="P136" t="inlineStr"/>
      <c r="Q136" t="inlineStr"/>
      <c r="R136" t="inlineStr"/>
      <c r="S136" t="inlineStr"/>
      <c r="T136" t="inlineStr"/>
      <c r="U136" t="inlineStr"/>
      <c r="V136">
        <f>HYPERLINK("https://chmeetings.blob.core.windows.net/846969/attachments/W9bzGDguQE6bvmSS8yK6g/23dde69a-d336-4d13-92cf-2f47abb43685.jpg", "https://chmeetings.blob.core.windows.net/846969/attachments/W9bzGDguQE6bvmSS8yK6g/23dde69a-d336-4d13-92cf-2f47abb43685.jpg")</f>
        <v/>
      </c>
      <c r="W136" t="inlineStr">
        <is>
          <t>2026-05-02 19:51:57</t>
        </is>
      </c>
    </row>
    <row r="137">
      <c r="A137" t="inlineStr">
        <is>
          <t>TLC</t>
        </is>
      </c>
      <c r="B137" t="inlineStr">
        <is>
          <t>3618802</t>
        </is>
      </c>
      <c r="C137" t="inlineStr">
        <is>
          <t>Peter</t>
        </is>
      </c>
      <c r="D137" t="inlineStr">
        <is>
          <t>Dang</t>
        </is>
      </c>
      <c r="E137" t="inlineStr">
        <is>
          <t>Yes</t>
        </is>
      </c>
      <c r="F137" t="inlineStr">
        <is>
          <t>Yes</t>
        </is>
      </c>
      <c r="G137" t="inlineStr">
        <is>
          <t>86</t>
        </is>
      </c>
      <c r="H137" t="inlineStr">
        <is>
          <t>validated</t>
        </is>
      </c>
      <c r="I137" t="n">
        <v>0</v>
      </c>
      <c r="J137" t="inlineStr">
        <is>
          <t>Male</t>
        </is>
      </c>
      <c r="K137" t="inlineStr">
        <is>
          <t>1999-09-05</t>
        </is>
      </c>
      <c r="L137" t="n">
        <v>26</v>
      </c>
      <c r="M137" t="inlineStr">
        <is>
          <t>(714) 589-7371</t>
        </is>
      </c>
      <c r="N137" t="inlineStr">
        <is>
          <t>Danghoaiminh@gmail.com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>
        <f>HYPERLINK("https://chmeetings.blob.core.windows.net/846969/attachments/Nxtp9U9gCEiPsYqocAkaFg/2d0fe47c-8ab7-4c18-960f-181f8bdfeb61.jpg", "https://chmeetings.blob.core.windows.net/846969/attachments/Nxtp9U9gCEiPsYqocAkaFg/2d0fe47c-8ab7-4c18-960f-181f8bdfeb61.jpg")</f>
        <v/>
      </c>
      <c r="W137" t="inlineStr">
        <is>
          <t>2026-05-03 04:38:48</t>
        </is>
      </c>
    </row>
    <row r="138">
      <c r="A138" t="inlineStr">
        <is>
          <t>TLC</t>
        </is>
      </c>
      <c r="B138" t="inlineStr">
        <is>
          <t>3618801</t>
        </is>
      </c>
      <c r="C138" t="inlineStr">
        <is>
          <t>Thao</t>
        </is>
      </c>
      <c r="D138" t="inlineStr">
        <is>
          <t>Dang</t>
        </is>
      </c>
      <c r="E138" t="inlineStr">
        <is>
          <t>Yes</t>
        </is>
      </c>
      <c r="F138" t="inlineStr">
        <is>
          <t>Yes</t>
        </is>
      </c>
      <c r="G138" t="inlineStr">
        <is>
          <t>87</t>
        </is>
      </c>
      <c r="H138" t="inlineStr">
        <is>
          <t>validated</t>
        </is>
      </c>
      <c r="I138" t="n">
        <v>0</v>
      </c>
      <c r="J138" t="inlineStr">
        <is>
          <t>Female</t>
        </is>
      </c>
      <c r="K138" t="inlineStr">
        <is>
          <t>1998-08-20</t>
        </is>
      </c>
      <c r="L138" t="n">
        <v>27</v>
      </c>
      <c r="M138" t="inlineStr">
        <is>
          <t>(714) 622-8253</t>
        </is>
      </c>
      <c r="N138" t="inlineStr">
        <is>
          <t>Thienthao6325@gmail.com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>
        <f>HYPERLINK("https://chmeetings.blob.core.windows.net/846969/attachments/IGfWpmInt0CaKkM3u2CxkA/5fe96a31-6f8d-4c09-90f8-d4aafca24385.jpg", "https://chmeetings.blob.core.windows.net/846969/attachments/IGfWpmInt0CaKkM3u2CxkA/5fe96a31-6f8d-4c09-90f8-d4aafca24385.jpg")</f>
        <v/>
      </c>
      <c r="W138" t="inlineStr">
        <is>
          <t>2026-05-03 04:38:59</t>
        </is>
      </c>
    </row>
    <row r="139">
      <c r="A139" t="inlineStr">
        <is>
          <t>TLC</t>
        </is>
      </c>
      <c r="B139" t="inlineStr">
        <is>
          <t>4361949</t>
        </is>
      </c>
      <c r="C139" t="inlineStr">
        <is>
          <t>Shan</t>
        </is>
      </c>
      <c r="D139" t="inlineStr">
        <is>
          <t>Gao</t>
        </is>
      </c>
      <c r="E139" t="inlineStr">
        <is>
          <t>Yes</t>
        </is>
      </c>
      <c r="F139" t="inlineStr">
        <is>
          <t>Yes</t>
        </is>
      </c>
      <c r="G139" t="inlineStr">
        <is>
          <t>30</t>
        </is>
      </c>
      <c r="H139" t="inlineStr">
        <is>
          <t>validated</t>
        </is>
      </c>
      <c r="I139" t="n">
        <v>0</v>
      </c>
      <c r="J139" t="inlineStr">
        <is>
          <t>Male</t>
        </is>
      </c>
      <c r="K139" t="inlineStr">
        <is>
          <t>2003-03-25</t>
        </is>
      </c>
      <c r="L139" t="n">
        <v>23</v>
      </c>
      <c r="M139" t="inlineStr">
        <is>
          <t>(626) 861-8687</t>
        </is>
      </c>
      <c r="N139" t="inlineStr">
        <is>
          <t>w2801046931@gmail.com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>
        <f>HYPERLINK("https://chmeetings.blob.core.windows.net/846969/attachments/Z3yem4f1HkKx9fc551NLNw/7bc871da-1eeb-4b72-9047-060bf53c9b05.jpg", "https://chmeetings.blob.core.windows.net/846969/attachments/Z3yem4f1HkKx9fc551NLNw/7bc871da-1eeb-4b72-9047-060bf53c9b05.jpg")</f>
        <v/>
      </c>
      <c r="W139" t="inlineStr">
        <is>
          <t>2026-05-02 20:13:04</t>
        </is>
      </c>
    </row>
    <row r="140">
      <c r="A140" t="inlineStr">
        <is>
          <t>TLC</t>
        </is>
      </c>
      <c r="B140" t="inlineStr">
        <is>
          <t>4361946</t>
        </is>
      </c>
      <c r="C140" t="inlineStr">
        <is>
          <t>Ivan</t>
        </is>
      </c>
      <c r="D140" t="inlineStr">
        <is>
          <t>Le</t>
        </is>
      </c>
      <c r="E140" t="inlineStr">
        <is>
          <t>Yes</t>
        </is>
      </c>
      <c r="F140" t="inlineStr">
        <is>
          <t>Yes</t>
        </is>
      </c>
      <c r="G140" t="inlineStr">
        <is>
          <t>27</t>
        </is>
      </c>
      <c r="H140" t="inlineStr">
        <is>
          <t>validated</t>
        </is>
      </c>
      <c r="I140" t="n">
        <v>0</v>
      </c>
      <c r="J140" t="inlineStr">
        <is>
          <t>Male</t>
        </is>
      </c>
      <c r="K140" t="inlineStr">
        <is>
          <t>2004-11-10</t>
        </is>
      </c>
      <c r="L140" t="n">
        <v>21</v>
      </c>
      <c r="M140" t="inlineStr">
        <is>
          <t>(714) 804-4074</t>
        </is>
      </c>
      <c r="N140" t="inlineStr">
        <is>
          <t>ivan92708@gmail.com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>
        <f>HYPERLINK("https://chmeetings.blob.core.windows.net/846969/attachments/XrueUAlMOUyouOnd0HI8YQ/b7be290e-2f7f-4b78-a624-0e1aebc0b779.jpg", "https://chmeetings.blob.core.windows.net/846969/attachments/XrueUAlMOUyouOnd0HI8YQ/b7be290e-2f7f-4b78-a624-0e1aebc0b779.jpg")</f>
        <v/>
      </c>
      <c r="W140" t="inlineStr">
        <is>
          <t>2026-05-02 20:12:32</t>
        </is>
      </c>
    </row>
    <row r="141">
      <c r="A141" t="inlineStr">
        <is>
          <t>TLC</t>
        </is>
      </c>
      <c r="B141" t="inlineStr">
        <is>
          <t>3562839</t>
        </is>
      </c>
      <c r="C141" t="inlineStr">
        <is>
          <t>Shawn</t>
        </is>
      </c>
      <c r="D141" t="inlineStr">
        <is>
          <t>Le</t>
        </is>
      </c>
      <c r="E141" t="inlineStr">
        <is>
          <t>Yes</t>
        </is>
      </c>
      <c r="F141" t="inlineStr">
        <is>
          <t>Yes</t>
        </is>
      </c>
      <c r="G141" t="inlineStr">
        <is>
          <t>31</t>
        </is>
      </c>
      <c r="H141" t="inlineStr">
        <is>
          <t>pending_approval</t>
        </is>
      </c>
      <c r="I141" t="n">
        <v>0</v>
      </c>
      <c r="J141" t="inlineStr">
        <is>
          <t>Male</t>
        </is>
      </c>
      <c r="K141" t="inlineStr">
        <is>
          <t>1997-10-23</t>
        </is>
      </c>
      <c r="L141" t="n">
        <v>28</v>
      </c>
      <c r="M141" t="inlineStr">
        <is>
          <t>(949) 416-8033</t>
        </is>
      </c>
      <c r="N141" t="inlineStr">
        <is>
          <t>shawn.le@thanhlechurch.com</t>
        </is>
      </c>
      <c r="O141" t="inlineStr"/>
      <c r="P141" t="inlineStr">
        <is>
          <t>1. Correct identity, gender, age range</t>
        </is>
      </c>
      <c r="Q141" t="inlineStr">
        <is>
          <t>2. Consent Form Signed by Self or Parents</t>
        </is>
      </c>
      <c r="R141" t="inlineStr">
        <is>
          <t>3. Account created on Member Portal and logged in</t>
        </is>
      </c>
      <c r="S141" t="inlineStr">
        <is>
          <t>4. Valid Photo as ID for event check-in</t>
        </is>
      </c>
      <c r="T141" t="inlineStr"/>
      <c r="U141" t="inlineStr"/>
      <c r="V141">
        <f>HYPERLINK("https://chmeetings.blob.core.windows.net/846969/attachments/YGg8n4kfIE6Jo6c8Uj0LMQ/267c68c0-1843-43e2-93a4-f5c795fb5c3f.jpg", "https://chmeetings.blob.core.windows.net/846969/attachments/YGg8n4kfIE6Jo6c8Uj0LMQ/267c68c0-1843-43e2-93a4-f5c795fb5c3f.jpg")</f>
        <v/>
      </c>
      <c r="W141" t="inlineStr">
        <is>
          <t>2026-05-02 20:03:51</t>
        </is>
      </c>
    </row>
    <row r="142">
      <c r="A142" t="inlineStr">
        <is>
          <t>TLC</t>
        </is>
      </c>
      <c r="B142" t="inlineStr">
        <is>
          <t>4361934</t>
        </is>
      </c>
      <c r="C142" t="inlineStr">
        <is>
          <t>James</t>
        </is>
      </c>
      <c r="D142" t="inlineStr">
        <is>
          <t>Nguyen</t>
        </is>
      </c>
      <c r="E142" t="inlineStr">
        <is>
          <t>Yes</t>
        </is>
      </c>
      <c r="F142" t="inlineStr">
        <is>
          <t>Yes</t>
        </is>
      </c>
      <c r="G142" t="inlineStr">
        <is>
          <t>28</t>
        </is>
      </c>
      <c r="H142" t="inlineStr">
        <is>
          <t>validated</t>
        </is>
      </c>
      <c r="I142" t="n">
        <v>0</v>
      </c>
      <c r="J142" t="inlineStr">
        <is>
          <t>Male</t>
        </is>
      </c>
      <c r="K142" t="inlineStr">
        <is>
          <t>2003-11-02</t>
        </is>
      </c>
      <c r="L142" t="n">
        <v>22</v>
      </c>
      <c r="M142" t="inlineStr">
        <is>
          <t>(626) 227-4099</t>
        </is>
      </c>
      <c r="N142" t="inlineStr">
        <is>
          <t>nguyejames03@gmail.com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>
        <f>HYPERLINK("https://chmeetings.blob.core.windows.net/846969/attachments/1N8zi6qzvEuqeQtuOAnIA/db69b783-cf12-4974-9080-8a1301fb5ca9.jpg", "https://chmeetings.blob.core.windows.net/846969/attachments/1N8zi6qzvEuqeQtuOAnIA/db69b783-cf12-4974-9080-8a1301fb5ca9.jpg")</f>
        <v/>
      </c>
      <c r="W142" t="inlineStr">
        <is>
          <t>2026-05-02 19:51:58</t>
        </is>
      </c>
    </row>
    <row r="143">
      <c r="A143" t="inlineStr">
        <is>
          <t>TLC</t>
        </is>
      </c>
      <c r="B143" t="inlineStr">
        <is>
          <t>4361933</t>
        </is>
      </c>
      <c r="C143" t="inlineStr">
        <is>
          <t>Hyewon</t>
        </is>
      </c>
      <c r="D143" t="inlineStr">
        <is>
          <t>Yun</t>
        </is>
      </c>
      <c r="E143" t="inlineStr">
        <is>
          <t>Yes</t>
        </is>
      </c>
      <c r="F143" t="inlineStr">
        <is>
          <t>No</t>
        </is>
      </c>
      <c r="G143" t="inlineStr">
        <is>
          <t>26</t>
        </is>
      </c>
      <c r="H143" t="inlineStr">
        <is>
          <t>validated</t>
        </is>
      </c>
      <c r="I143" t="n">
        <v>0</v>
      </c>
      <c r="J143" t="inlineStr">
        <is>
          <t>Male</t>
        </is>
      </c>
      <c r="K143" t="inlineStr">
        <is>
          <t>1996-06-14</t>
        </is>
      </c>
      <c r="L143" t="n">
        <v>30</v>
      </c>
      <c r="M143" t="inlineStr">
        <is>
          <t>(714) 501-3313</t>
        </is>
      </c>
      <c r="N143" t="inlineStr">
        <is>
          <t>hyewonyun1996@gmail.com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>
        <f>HYPERLINK("https://chmeetings.blob.core.windows.net/846969/attachments/iz7lVTuVok6vCCLaDh89w/5c294fc1-1dd8-4abe-8c6d-053ac638f408.jpg", "https://chmeetings.blob.core.windows.net/846969/attachments/iz7lVTuVok6vCCLaDh89w/5c294fc1-1dd8-4abe-8c6d-053ac638f408.jpg")</f>
        <v/>
      </c>
      <c r="W143" t="inlineStr">
        <is>
          <t>2026-05-02 19:51:57</t>
        </is>
      </c>
    </row>
    <row r="144">
      <c r="A144" t="inlineStr">
        <is>
          <t>WCC</t>
        </is>
      </c>
      <c r="B144" t="inlineStr">
        <is>
          <t>3634935</t>
        </is>
      </c>
      <c r="C144" t="inlineStr">
        <is>
          <t>Kimmi</t>
        </is>
      </c>
      <c r="D144" t="inlineStr">
        <is>
          <t>Hoang</t>
        </is>
      </c>
      <c r="E144" t="inlineStr">
        <is>
          <t>Yes</t>
        </is>
      </c>
      <c r="F144" t="inlineStr">
        <is>
          <t>No</t>
        </is>
      </c>
      <c r="G144" t="inlineStr">
        <is>
          <t>134</t>
        </is>
      </c>
      <c r="H144" t="inlineStr">
        <is>
          <t>pending</t>
        </is>
      </c>
      <c r="I144" t="n">
        <v>1</v>
      </c>
      <c r="J144" t="inlineStr">
        <is>
          <t>Female</t>
        </is>
      </c>
      <c r="K144" t="inlineStr">
        <is>
          <t>2009-10-01</t>
        </is>
      </c>
      <c r="L144" t="n">
        <v>16</v>
      </c>
      <c r="M144" t="inlineStr">
        <is>
          <t>(714) 468-6918</t>
        </is>
      </c>
      <c r="N144" t="inlineStr">
        <is>
          <t>kimmipatootie22@gmail.com</t>
        </is>
      </c>
      <c r="O144" t="inlineStr">
        <is>
          <t>Consent form status unknown or not provided</t>
        </is>
      </c>
      <c r="P144" t="inlineStr"/>
      <c r="Q144" t="inlineStr"/>
      <c r="R144" t="inlineStr"/>
      <c r="S144" t="inlineStr"/>
      <c r="T144" t="inlineStr"/>
      <c r="U144" t="inlineStr"/>
      <c r="V144">
        <f>HYPERLINK("https://chmeetings.blob.core.windows.net/846969/attachments/9nEGy85sokmJaBeo9nAUDw/a8b80cd3-43d6-42a5-b2f6-86c0ed51a320.jpg", "https://chmeetings.blob.core.windows.net/846969/attachments/9nEGy85sokmJaBeo9nAUDw/a8b80cd3-43d6-42a5-b2f6-86c0ed51a320.jpg")</f>
        <v/>
      </c>
      <c r="W144" t="inlineStr">
        <is>
          <t>2026-05-03 21:53:19</t>
        </is>
      </c>
    </row>
    <row r="145">
      <c r="A145" t="inlineStr">
        <is>
          <t>WCC</t>
        </is>
      </c>
      <c r="B145" t="inlineStr">
        <is>
          <t>3615930</t>
        </is>
      </c>
      <c r="C145" t="inlineStr">
        <is>
          <t>Daniel</t>
        </is>
      </c>
      <c r="D145" t="inlineStr">
        <is>
          <t>Doan</t>
        </is>
      </c>
      <c r="E145" t="inlineStr">
        <is>
          <t>Yes</t>
        </is>
      </c>
      <c r="F145" t="inlineStr">
        <is>
          <t>Yes</t>
        </is>
      </c>
      <c r="G145" t="inlineStr">
        <is>
          <t>132</t>
        </is>
      </c>
      <c r="H145" t="inlineStr">
        <is>
          <t>validated</t>
        </is>
      </c>
      <c r="I145" t="n">
        <v>0</v>
      </c>
      <c r="J145" t="inlineStr">
        <is>
          <t>Male</t>
        </is>
      </c>
      <c r="K145" t="inlineStr">
        <is>
          <t>1992-12-01</t>
        </is>
      </c>
      <c r="L145" t="n">
        <v>33</v>
      </c>
      <c r="M145" t="inlineStr">
        <is>
          <t>(408) 425-5606</t>
        </is>
      </c>
      <c r="N145" t="inlineStr">
        <is>
          <t>doubledoan@gmail.com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>
        <f>HYPERLINK("https://chmeetings.blob.core.windows.net/846969/attachments/el0BLZyZ3EeCAz93XTduBg/16121ded-bc36-4590-a3b9-de3d81525d74.jpg", "https://chmeetings.blob.core.windows.net/846969/attachments/el0BLZyZ3EeCAz93XTduBg/16121ded-bc36-4590-a3b9-de3d81525d74.jpg")</f>
        <v/>
      </c>
      <c r="W145" t="inlineStr">
        <is>
          <t>2026-05-03 21:52:05</t>
        </is>
      </c>
    </row>
    <row r="146">
      <c r="A146" t="inlineStr">
        <is>
          <t>WCC</t>
        </is>
      </c>
      <c r="B146" t="inlineStr">
        <is>
          <t>3636515</t>
        </is>
      </c>
      <c r="C146" t="inlineStr">
        <is>
          <t>Peter</t>
        </is>
      </c>
      <c r="D146" t="inlineStr">
        <is>
          <t>Duong</t>
        </is>
      </c>
      <c r="E146" t="inlineStr">
        <is>
          <t>Yes</t>
        </is>
      </c>
      <c r="F146" t="inlineStr">
        <is>
          <t>Yes</t>
        </is>
      </c>
      <c r="G146" t="inlineStr">
        <is>
          <t>135</t>
        </is>
      </c>
      <c r="H146" t="inlineStr">
        <is>
          <t>validated</t>
        </is>
      </c>
      <c r="I146" t="n">
        <v>0</v>
      </c>
      <c r="J146" t="inlineStr">
        <is>
          <t>Male</t>
        </is>
      </c>
      <c r="K146" t="inlineStr">
        <is>
          <t>1996-09-01</t>
        </is>
      </c>
      <c r="L146" t="n">
        <v>29</v>
      </c>
      <c r="M146" t="inlineStr">
        <is>
          <t>(714) 723-2835</t>
        </is>
      </c>
      <c r="N146" t="inlineStr">
        <is>
          <t>19duong96@gmail.com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>
        <f>HYPERLINK("https://chmeetings.blob.core.windows.net/846969/attachments/jOasv15W9EGIhUP8ZS2m4g/c7928860-e892-47de-9581-5c2c5b4ce84a.jpg", "https://chmeetings.blob.core.windows.net/846969/attachments/jOasv15W9EGIhUP8ZS2m4g/c7928860-e892-47de-9581-5c2c5b4ce84a.jpg")</f>
        <v/>
      </c>
      <c r="W146" t="inlineStr">
        <is>
          <t>2026-05-03 22:00:14</t>
        </is>
      </c>
    </row>
    <row r="147">
      <c r="A147" t="inlineStr">
        <is>
          <t>WCC</t>
        </is>
      </c>
      <c r="B147" t="inlineStr">
        <is>
          <t>3615931</t>
        </is>
      </c>
      <c r="C147" t="inlineStr">
        <is>
          <t>Eric</t>
        </is>
      </c>
      <c r="D147" t="inlineStr">
        <is>
          <t>Pham</t>
        </is>
      </c>
      <c r="E147" t="inlineStr">
        <is>
          <t>Yes</t>
        </is>
      </c>
      <c r="F147" t="inlineStr">
        <is>
          <t>Yes</t>
        </is>
      </c>
      <c r="G147" t="inlineStr">
        <is>
          <t>133</t>
        </is>
      </c>
      <c r="H147" t="inlineStr">
        <is>
          <t>validated</t>
        </is>
      </c>
      <c r="I147" t="n">
        <v>0</v>
      </c>
      <c r="J147" t="inlineStr">
        <is>
          <t>Male</t>
        </is>
      </c>
      <c r="K147" t="inlineStr">
        <is>
          <t>2001-08-01</t>
        </is>
      </c>
      <c r="L147" t="n">
        <v>24</v>
      </c>
      <c r="M147" t="inlineStr">
        <is>
          <t>(714) 880-5384</t>
        </is>
      </c>
      <c r="N147" t="inlineStr">
        <is>
          <t>erc.pham@gmail.com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>
        <f>HYPERLINK("https://chmeetings.blob.core.windows.net/846969/attachments/NU7Pn1JdZUSPERudexN2Yg/147a78db-c0fe-4261-8790-cce83b01ea97.jpg", "https://chmeetings.blob.core.windows.net/846969/attachments/NU7Pn1JdZUSPERudexN2Yg/147a78db-c0fe-4261-8790-cce83b01ea97.jpg")</f>
        <v/>
      </c>
      <c r="W147" t="inlineStr">
        <is>
          <t>2026-05-03 21:52:42</t>
        </is>
      </c>
    </row>
    <row r="148">
      <c r="A148" t="inlineStr">
        <is>
          <t>WCC</t>
        </is>
      </c>
      <c r="B148" t="inlineStr">
        <is>
          <t>3636090</t>
        </is>
      </c>
      <c r="C148" t="inlineStr">
        <is>
          <t>Tony</t>
        </is>
      </c>
      <c r="D148" t="inlineStr">
        <is>
          <t>Van</t>
        </is>
      </c>
      <c r="E148" t="inlineStr">
        <is>
          <t>Yes</t>
        </is>
      </c>
      <c r="F148" t="inlineStr">
        <is>
          <t>Yes</t>
        </is>
      </c>
      <c r="G148" t="inlineStr">
        <is>
          <t>136</t>
        </is>
      </c>
      <c r="H148" t="inlineStr">
        <is>
          <t>validated</t>
        </is>
      </c>
      <c r="I148" t="n">
        <v>0</v>
      </c>
      <c r="J148" t="inlineStr">
        <is>
          <t>Male</t>
        </is>
      </c>
      <c r="K148" t="inlineStr">
        <is>
          <t>1994-10-30</t>
        </is>
      </c>
      <c r="L148" t="n">
        <v>31</v>
      </c>
      <c r="M148" t="inlineStr">
        <is>
          <t>(714) 248-5140</t>
        </is>
      </c>
      <c r="N148" t="inlineStr">
        <is>
          <t>tonyvan1030@gmail.com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>
        <f>HYPERLINK("https://chmeetings.blob.core.windows.net/846969/attachments/LgS9b1PnVEaUrKe8jMljbw/e63a6371-6a4a-4741-aead-682ab4f50def.jpg", "https://chmeetings.blob.core.windows.net/846969/attachments/LgS9b1PnVEaUrKe8jMljbw/e63a6371-6a4a-4741-aead-682ab4f50def.jpg")</f>
        <v/>
      </c>
      <c r="W148" t="inlineStr">
        <is>
          <t>2026-05-03 22:00:53</t>
        </is>
      </c>
    </row>
    <row r="149">
      <c r="A149" t="inlineStr">
        <is>
          <t>WSD</t>
        </is>
      </c>
      <c r="B149" t="inlineStr">
        <is>
          <t>3625889</t>
        </is>
      </c>
      <c r="C149" t="inlineStr">
        <is>
          <t>Timmy</t>
        </is>
      </c>
      <c r="D149" t="inlineStr">
        <is>
          <t>Tran</t>
        </is>
      </c>
      <c r="E149" t="inlineStr">
        <is>
          <t>Yes</t>
        </is>
      </c>
      <c r="F149" t="inlineStr">
        <is>
          <t>Yes</t>
        </is>
      </c>
      <c r="G149" t="inlineStr">
        <is>
          <t>104</t>
        </is>
      </c>
      <c r="H149" t="inlineStr">
        <is>
          <t>validated</t>
        </is>
      </c>
      <c r="I149" t="n">
        <v>0</v>
      </c>
      <c r="J149" t="inlineStr">
        <is>
          <t>Male</t>
        </is>
      </c>
      <c r="K149" t="inlineStr">
        <is>
          <t>2007-03-21</t>
        </is>
      </c>
      <c r="L149" t="n">
        <v>19</v>
      </c>
      <c r="M149" t="inlineStr">
        <is>
          <t>(619) 719-0024</t>
        </is>
      </c>
      <c r="N149" t="inlineStr">
        <is>
          <t>timmyltran@gmail.com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>
        <f>HYPERLINK("https://chmeetings.blob.core.windows.net/846969/attachments/VduSCcfrdUWJ7gbl9GLKMw/75acb3df-696d-448f-8690-af924f8e215e.jpg", "https://chmeetings.blob.core.windows.net/846969/attachments/VduSCcfrdUWJ7gbl9GLKMw/75acb3df-696d-448f-8690-af924f8e215e.jpg")</f>
        <v/>
      </c>
      <c r="W149" t="inlineStr">
        <is>
          <t>2026-05-03 21:53:53</t>
        </is>
      </c>
    </row>
    <row r="150">
      <c r="A150" t="inlineStr">
        <is>
          <t>WSD</t>
        </is>
      </c>
      <c r="B150" t="inlineStr">
        <is>
          <t>3606103</t>
        </is>
      </c>
      <c r="C150" t="inlineStr">
        <is>
          <t>Linh</t>
        </is>
      </c>
      <c r="D150" t="inlineStr">
        <is>
          <t>Nguyen</t>
        </is>
      </c>
      <c r="E150" t="inlineStr">
        <is>
          <t>No</t>
        </is>
      </c>
      <c r="F150" t="inlineStr">
        <is>
          <t>Yes</t>
        </is>
      </c>
      <c r="G150" t="n">
        <v>0</v>
      </c>
      <c r="H150" t="inlineStr">
        <is>
          <t>N/A</t>
        </is>
      </c>
      <c r="I150" t="n">
        <v>0</v>
      </c>
      <c r="J150" t="inlineStr">
        <is>
          <t>Female</t>
        </is>
      </c>
      <c r="K150" t="inlineStr">
        <is>
          <t>1984-05-03</t>
        </is>
      </c>
      <c r="L150" t="n">
        <v>42</v>
      </c>
      <c r="M150" t="inlineStr">
        <is>
          <t>(619) 793-7786</t>
        </is>
      </c>
      <c r="N150" t="inlineStr">
        <is>
          <t>thuylinh.nguyen@wesleychurchsd.com</t>
        </is>
      </c>
      <c r="O150" t="inlineStr"/>
      <c r="P150" t="inlineStr">
        <is>
          <t>1. Correct identity, gender, age range</t>
        </is>
      </c>
      <c r="Q150" t="inlineStr">
        <is>
          <t>2. Consent Form Signed by Self or Parents</t>
        </is>
      </c>
      <c r="R150" t="inlineStr">
        <is>
          <t>3. Account created on Member Portal and logged in</t>
        </is>
      </c>
      <c r="S150" t="inlineStr">
        <is>
          <t>4. Valid Photo as ID for event check-in</t>
        </is>
      </c>
      <c r="T150" t="inlineStr">
        <is>
          <t>5. Approval from Pastor</t>
        </is>
      </c>
      <c r="U150" t="inlineStr">
        <is>
          <t>6. Paid All Fees</t>
        </is>
      </c>
      <c r="V150" t="inlineStr">
        <is>
          <t>N/A</t>
        </is>
      </c>
      <c r="W150" t="inlineStr">
        <is>
          <t>2025-05-17 22:40:38</t>
        </is>
      </c>
    </row>
  </sheetData>
  <autoFilter ref="A1:W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4.5" customWidth="1" min="7" max="7"/>
    <col width="4" customWidth="1" min="8" max="8"/>
    <col width="4" customWidth="1" min="9" max="9"/>
    <col width="9" customWidth="1" min="10" max="10"/>
    <col width="9" customWidth="1" min="11" max="11"/>
    <col width="12" customWidth="1" min="12" max="12"/>
    <col width="7" customWidth="1" min="13" max="13"/>
    <col width="8" customWidth="1" min="14" max="14"/>
    <col width="4" customWidth="1" min="15" max="15"/>
    <col width="7" customWidth="1" min="16" max="16"/>
    <col width="5" customWidth="1" min="17" max="17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s="1" t="inlineStr">
        <is>
          <t>Photo</t>
        </is>
      </c>
      <c r="G1" t="inlineStr">
        <is>
          <t>First Name</t>
        </is>
      </c>
      <c r="H1" t="inlineStr">
        <is>
          <t>Last Name</t>
        </is>
      </c>
      <c r="I1" t="inlineStr">
        <is>
          <t>Gender</t>
        </is>
      </c>
      <c r="J1" t="inlineStr">
        <is>
          <t>Age (at Event)</t>
        </is>
      </c>
      <c r="K1" t="inlineStr">
        <is>
          <t>Mobile Phone</t>
        </is>
      </c>
      <c r="L1" t="inlineStr">
        <is>
          <t>Email</t>
        </is>
      </c>
      <c r="M1" t="inlineStr">
        <is>
          <t>sport_type</t>
        </is>
      </c>
      <c r="N1" t="inlineStr">
        <is>
          <t>sport_gender</t>
        </is>
      </c>
      <c r="O1" t="inlineStr">
        <is>
          <t>sport_format</t>
        </is>
      </c>
      <c r="P1" t="inlineStr">
        <is>
          <t>team_order</t>
        </is>
      </c>
      <c r="Q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Kaitlyn</t>
        </is>
      </c>
      <c r="H2" t="inlineStr">
        <is>
          <t>Duong</t>
        </is>
      </c>
      <c r="I2" t="inlineStr">
        <is>
          <t>Female</t>
        </is>
      </c>
      <c r="J2" t="n">
        <v>19</v>
      </c>
      <c r="K2" t="inlineStr">
        <is>
          <t>(714) 606-9350</t>
        </is>
      </c>
      <c r="L2" t="inlineStr">
        <is>
          <t>dnyltiak@gmail.com</t>
        </is>
      </c>
      <c r="M2" t="inlineStr">
        <is>
          <t>Badminton</t>
        </is>
      </c>
      <c r="N2" t="inlineStr">
        <is>
          <t>Mixed</t>
        </is>
      </c>
      <c r="O2" t="inlineStr">
        <is>
          <t>Doubles</t>
        </is>
      </c>
      <c r="P2" t="inlineStr"/>
      <c r="Q2" t="inlineStr">
        <is>
          <t>Yanni Le</t>
        </is>
      </c>
    </row>
    <row r="3">
      <c r="A3" t="inlineStr">
        <is>
          <t>ANH</t>
        </is>
      </c>
      <c r="B3" t="inlineStr">
        <is>
          <t>3570850</t>
        </is>
      </c>
      <c r="C3" t="inlineStr">
        <is>
          <t>88</t>
        </is>
      </c>
      <c r="D3" t="inlineStr">
        <is>
          <t>validated</t>
        </is>
      </c>
      <c r="E3" t="b">
        <v>1</v>
      </c>
      <c r="F3">
        <f>IMAGE("https://chmeetings.blob.core.windows.net/846969/attachments/STk7BLcuJEeK4Qn3rPRDdQ/d71fc857-c95a-4dee-91ac-81954f0a44d0.jpg")</f>
        <v/>
      </c>
      <c r="G3" t="inlineStr">
        <is>
          <t>Haniel</t>
        </is>
      </c>
      <c r="H3" t="inlineStr">
        <is>
          <t>Dang</t>
        </is>
      </c>
      <c r="I3" t="inlineStr">
        <is>
          <t>Male</t>
        </is>
      </c>
      <c r="J3" t="n">
        <v>23</v>
      </c>
      <c r="K3" t="inlineStr">
        <is>
          <t>(714) 757-3069</t>
        </is>
      </c>
      <c r="L3" t="inlineStr">
        <is>
          <t>lobsterboi3.hd@gmail.com</t>
        </is>
      </c>
      <c r="M3" t="inlineStr">
        <is>
          <t>Basketball</t>
        </is>
      </c>
      <c r="N3" t="inlineStr">
        <is>
          <t>Mixed</t>
        </is>
      </c>
      <c r="O3" t="inlineStr">
        <is>
          <t>Team</t>
        </is>
      </c>
      <c r="P3" t="inlineStr"/>
      <c r="Q3" t="inlineStr"/>
    </row>
    <row r="4">
      <c r="A4" t="inlineStr">
        <is>
          <t>ANH</t>
        </is>
      </c>
      <c r="B4" t="inlineStr">
        <is>
          <t>3570850</t>
        </is>
      </c>
      <c r="C4" t="inlineStr">
        <is>
          <t>88</t>
        </is>
      </c>
      <c r="D4" t="inlineStr">
        <is>
          <t>validated</t>
        </is>
      </c>
      <c r="E4" t="b">
        <v>1</v>
      </c>
      <c r="F4">
        <f>IMAGE("https://chmeetings.blob.core.windows.net/846969/attachments/STk7BLcuJEeK4Qn3rPRDdQ/d71fc857-c95a-4dee-91ac-81954f0a44d0.jpg")</f>
        <v/>
      </c>
      <c r="G4" t="inlineStr">
        <is>
          <t>Haniel</t>
        </is>
      </c>
      <c r="H4" t="inlineStr">
        <is>
          <t>Dang</t>
        </is>
      </c>
      <c r="I4" t="inlineStr">
        <is>
          <t>Male</t>
        </is>
      </c>
      <c r="J4" t="n">
        <v>23</v>
      </c>
      <c r="K4" t="inlineStr">
        <is>
          <t>(714) 757-3069</t>
        </is>
      </c>
      <c r="L4" t="inlineStr">
        <is>
          <t>lobsterboi3.hd@gmail.com</t>
        </is>
      </c>
      <c r="M4" t="inlineStr">
        <is>
          <t>Soccer - Coed Exhibition</t>
        </is>
      </c>
      <c r="N4" t="inlineStr">
        <is>
          <t>Mixed</t>
        </is>
      </c>
      <c r="O4" t="inlineStr">
        <is>
          <t>Team</t>
        </is>
      </c>
      <c r="P4" t="inlineStr"/>
      <c r="Q4" t="inlineStr"/>
    </row>
    <row r="5">
      <c r="A5" t="inlineStr">
        <is>
          <t>ANH</t>
        </is>
      </c>
      <c r="B5" t="inlineStr">
        <is>
          <t>3570850</t>
        </is>
      </c>
      <c r="C5" t="inlineStr">
        <is>
          <t>88</t>
        </is>
      </c>
      <c r="D5" t="inlineStr">
        <is>
          <t>validated</t>
        </is>
      </c>
      <c r="E5" t="b">
        <v>1</v>
      </c>
      <c r="F5">
        <f>IMAGE("https://chmeetings.blob.core.windows.net/846969/attachments/STk7BLcuJEeK4Qn3rPRDdQ/d71fc857-c95a-4dee-91ac-81954f0a44d0.jpg")</f>
        <v/>
      </c>
      <c r="G5" t="inlineStr">
        <is>
          <t>Haniel</t>
        </is>
      </c>
      <c r="H5" t="inlineStr">
        <is>
          <t>Dang</t>
        </is>
      </c>
      <c r="I5" t="inlineStr">
        <is>
          <t>Male</t>
        </is>
      </c>
      <c r="J5" t="n">
        <v>23</v>
      </c>
      <c r="K5" t="inlineStr">
        <is>
          <t>(714) 757-3069</t>
        </is>
      </c>
      <c r="L5" t="inlineStr">
        <is>
          <t>lobsterboi3.hd@gmail.com</t>
        </is>
      </c>
      <c r="M5" t="inlineStr">
        <is>
          <t>Track &amp; Field</t>
        </is>
      </c>
      <c r="N5" t="inlineStr">
        <is>
          <t>Mixed</t>
        </is>
      </c>
      <c r="O5" t="inlineStr">
        <is>
          <t>Team</t>
        </is>
      </c>
      <c r="P5" t="inlineStr"/>
      <c r="Q5" t="inlineStr"/>
    </row>
    <row r="6">
      <c r="A6" t="inlineStr">
        <is>
          <t>ANH</t>
        </is>
      </c>
      <c r="B6" t="inlineStr">
        <is>
          <t>3570850</t>
        </is>
      </c>
      <c r="C6" t="inlineStr">
        <is>
          <t>88</t>
        </is>
      </c>
      <c r="D6" t="inlineStr">
        <is>
          <t>validated</t>
        </is>
      </c>
      <c r="E6" t="b">
        <v>1</v>
      </c>
      <c r="F6">
        <f>IMAGE("https://chmeetings.blob.core.windows.net/846969/attachments/STk7BLcuJEeK4Qn3rPRDdQ/d71fc857-c95a-4dee-91ac-81954f0a44d0.jpg")</f>
        <v/>
      </c>
      <c r="G6" t="inlineStr">
        <is>
          <t>Haniel</t>
        </is>
      </c>
      <c r="H6" t="inlineStr">
        <is>
          <t>Dang</t>
        </is>
      </c>
      <c r="I6" t="inlineStr">
        <is>
          <t>Male</t>
        </is>
      </c>
      <c r="J6" t="n">
        <v>23</v>
      </c>
      <c r="K6" t="inlineStr">
        <is>
          <t>(714) 757-3069</t>
        </is>
      </c>
      <c r="L6" t="inlineStr">
        <is>
          <t>lobsterboi3.hd@gmail.com</t>
        </is>
      </c>
      <c r="M6" t="inlineStr">
        <is>
          <t>Volleyball</t>
        </is>
      </c>
      <c r="N6" t="inlineStr">
        <is>
          <t>Men</t>
        </is>
      </c>
      <c r="O6" t="inlineStr">
        <is>
          <t>Team</t>
        </is>
      </c>
      <c r="P6" t="inlineStr"/>
      <c r="Q6" t="inlineStr"/>
    </row>
    <row r="7">
      <c r="A7" t="inlineStr">
        <is>
          <t>ANH</t>
        </is>
      </c>
      <c r="B7" t="inlineStr">
        <is>
          <t>3739995</t>
        </is>
      </c>
      <c r="C7" t="inlineStr">
        <is>
          <t>89</t>
        </is>
      </c>
      <c r="D7" t="inlineStr">
        <is>
          <t>validated</t>
        </is>
      </c>
      <c r="E7" t="b">
        <v>1</v>
      </c>
      <c r="F7">
        <f>IMAGE("https://chmeetings.blob.core.windows.net/846969/attachments/MUagp5MVh0uWHcOhTCv0A/9693d651-92b5-43b2-ab71-d35fb2a7981c.jpg")</f>
        <v/>
      </c>
      <c r="G7" t="inlineStr">
        <is>
          <t>Kaitlyn</t>
        </is>
      </c>
      <c r="H7" t="inlineStr">
        <is>
          <t>Duong</t>
        </is>
      </c>
      <c r="I7" t="inlineStr">
        <is>
          <t>Female</t>
        </is>
      </c>
      <c r="J7" t="n">
        <v>19</v>
      </c>
      <c r="K7" t="inlineStr">
        <is>
          <t>(714) 606-9350</t>
        </is>
      </c>
      <c r="L7" t="inlineStr">
        <is>
          <t>dnyltiak@gmail.com</t>
        </is>
      </c>
      <c r="M7" t="inlineStr">
        <is>
          <t>Volleyball</t>
        </is>
      </c>
      <c r="N7" t="inlineStr">
        <is>
          <t>Women</t>
        </is>
      </c>
      <c r="O7" t="inlineStr">
        <is>
          <t>Team</t>
        </is>
      </c>
      <c r="P7" t="inlineStr"/>
      <c r="Q7" t="inlineStr"/>
    </row>
    <row r="8">
      <c r="A8" t="inlineStr">
        <is>
          <t>FVC</t>
        </is>
      </c>
      <c r="B8" t="inlineStr">
        <is>
          <t>4361935</t>
        </is>
      </c>
      <c r="C8" t="inlineStr">
        <is>
          <t>67</t>
        </is>
      </c>
      <c r="D8" t="inlineStr">
        <is>
          <t>validated</t>
        </is>
      </c>
      <c r="E8" t="b">
        <v>0</v>
      </c>
      <c r="F8">
        <f>IMAGE("https://chmeetings.blob.core.windows.net/846969/attachments/R67AObtP0qrOKz5JMVug/8581a3f9-95f3-4d53-845b-829780445710.jpg")</f>
        <v/>
      </c>
      <c r="G8" t="inlineStr">
        <is>
          <t>Stephy</t>
        </is>
      </c>
      <c r="H8" t="inlineStr">
        <is>
          <t>Wang</t>
        </is>
      </c>
      <c r="I8" t="inlineStr">
        <is>
          <t>Female</t>
        </is>
      </c>
      <c r="J8" t="n">
        <v>24</v>
      </c>
      <c r="K8" t="inlineStr">
        <is>
          <t>(626) 497-4697</t>
        </is>
      </c>
      <c r="L8" t="inlineStr">
        <is>
          <t>Stephy12304@gmail.com</t>
        </is>
      </c>
      <c r="M8" t="inlineStr">
        <is>
          <t>Badminton</t>
        </is>
      </c>
      <c r="N8" t="inlineStr">
        <is>
          <t>Women</t>
        </is>
      </c>
      <c r="O8" t="inlineStr">
        <is>
          <t>Doubles</t>
        </is>
      </c>
      <c r="P8" t="inlineStr"/>
      <c r="Q8" t="inlineStr">
        <is>
          <t>Tina</t>
        </is>
      </c>
    </row>
    <row r="9">
      <c r="A9" t="inlineStr">
        <is>
          <t>FVC</t>
        </is>
      </c>
      <c r="B9" t="inlineStr">
        <is>
          <t>3623916</t>
        </is>
      </c>
      <c r="C9" t="inlineStr">
        <is>
          <t>66</t>
        </is>
      </c>
      <c r="D9" t="inlineStr">
        <is>
          <t>validated</t>
        </is>
      </c>
      <c r="E9" t="b">
        <v>1</v>
      </c>
      <c r="F9">
        <f>IMAGE("https://chmeetings.blob.core.windows.net/846969/attachments/fYvFpOHviEe0wHVMPzacZw/6a6ff4b5-bd9f-4624-ada9-8744e2a5f857.jpg")</f>
        <v/>
      </c>
      <c r="G9" t="inlineStr">
        <is>
          <t>Matthew</t>
        </is>
      </c>
      <c r="H9" t="inlineStr">
        <is>
          <t>Miyagishima</t>
        </is>
      </c>
      <c r="I9" t="inlineStr">
        <is>
          <t>Male</t>
        </is>
      </c>
      <c r="J9" t="n">
        <v>28</v>
      </c>
      <c r="K9" t="inlineStr">
        <is>
          <t>(714) 749-8210</t>
        </is>
      </c>
      <c r="L9" t="inlineStr">
        <is>
          <t>mmiyagishima16@gmail.com</t>
        </is>
      </c>
      <c r="M9" t="inlineStr">
        <is>
          <t>Basketball</t>
        </is>
      </c>
      <c r="N9" t="inlineStr">
        <is>
          <t>Mixed</t>
        </is>
      </c>
      <c r="O9" t="inlineStr">
        <is>
          <t>Team</t>
        </is>
      </c>
      <c r="P9" t="inlineStr"/>
      <c r="Q9" t="inlineStr"/>
    </row>
    <row r="10">
      <c r="A10" t="inlineStr">
        <is>
          <t>FVC</t>
        </is>
      </c>
      <c r="B10" t="inlineStr">
        <is>
          <t>3624648</t>
        </is>
      </c>
      <c r="C10" t="inlineStr">
        <is>
          <t>127</t>
        </is>
      </c>
      <c r="D10" t="inlineStr">
        <is>
          <t>validated</t>
        </is>
      </c>
      <c r="E10" t="b">
        <v>1</v>
      </c>
      <c r="F10">
        <f>IMAGE("https://chmeetings.blob.core.windows.net/846969/attachments/qj11d0mfBkIH30v4IwKQ/8cb9a967-e055-467f-a161-492dfc732b2c.jpg")</f>
        <v/>
      </c>
      <c r="G10" t="inlineStr">
        <is>
          <t>Justin</t>
        </is>
      </c>
      <c r="H10" t="inlineStr">
        <is>
          <t>Nguyen</t>
        </is>
      </c>
      <c r="I10" t="inlineStr">
        <is>
          <t>Male</t>
        </is>
      </c>
      <c r="J10" t="n">
        <v>23</v>
      </c>
      <c r="K10" t="inlineStr">
        <is>
          <t>(951) 496-9385</t>
        </is>
      </c>
      <c r="L10" t="inlineStr">
        <is>
          <t>justinqnguyen3@gmail.com</t>
        </is>
      </c>
      <c r="M10" t="inlineStr">
        <is>
          <t>Basketball</t>
        </is>
      </c>
      <c r="N10" t="inlineStr">
        <is>
          <t>Mixed</t>
        </is>
      </c>
      <c r="O10" t="inlineStr">
        <is>
          <t>Team</t>
        </is>
      </c>
      <c r="P10" t="inlineStr"/>
      <c r="Q10" t="inlineStr"/>
    </row>
    <row r="11">
      <c r="A11" t="inlineStr">
        <is>
          <t>FVC</t>
        </is>
      </c>
      <c r="B11" t="inlineStr">
        <is>
          <t>3623917</t>
        </is>
      </c>
      <c r="C11" t="inlineStr">
        <is>
          <t>65</t>
        </is>
      </c>
      <c r="D11" t="inlineStr">
        <is>
          <t>validated</t>
        </is>
      </c>
      <c r="E11" t="b">
        <v>1</v>
      </c>
      <c r="F11">
        <f>IMAGE("https://chmeetings.blob.core.windows.net/846969/attachments/RsVvSMjIZEOg4jtrF5I5gg/708cb162-46ad-468f-b540-1209616245c2.jpg")</f>
        <v/>
      </c>
      <c r="G11" t="inlineStr">
        <is>
          <t>Kevin</t>
        </is>
      </c>
      <c r="H11" t="inlineStr">
        <is>
          <t>Nguyen</t>
        </is>
      </c>
      <c r="I11" t="inlineStr">
        <is>
          <t>Male</t>
        </is>
      </c>
      <c r="J11" t="n">
        <v>25</v>
      </c>
      <c r="K11" t="inlineStr">
        <is>
          <t>(657) 259-7371</t>
        </is>
      </c>
      <c r="L11" t="inlineStr">
        <is>
          <t>kevinvnguyen15@gmail.com</t>
        </is>
      </c>
      <c r="M11" t="inlineStr">
        <is>
          <t>Basketball</t>
        </is>
      </c>
      <c r="N11" t="inlineStr">
        <is>
          <t>Mixed</t>
        </is>
      </c>
      <c r="O11" t="inlineStr">
        <is>
          <t>Team</t>
        </is>
      </c>
      <c r="P11" t="inlineStr"/>
      <c r="Q11" t="inlineStr"/>
    </row>
    <row r="12">
      <c r="A12" t="inlineStr">
        <is>
          <t>FVC</t>
        </is>
      </c>
      <c r="B12" t="inlineStr">
        <is>
          <t>3623920</t>
        </is>
      </c>
      <c r="C12" t="inlineStr">
        <is>
          <t>61</t>
        </is>
      </c>
      <c r="D12" t="inlineStr">
        <is>
          <t>validated</t>
        </is>
      </c>
      <c r="E12" t="b">
        <v>0</v>
      </c>
      <c r="F12">
        <f>IMAGE("https://chmeetings.blob.core.windows.net/846969/attachments/M6A5b0NLrkOaM0d7HnpXzg/da62a76a-746b-41fc-a40a-dd4fcbe3e398.jpg")</f>
        <v/>
      </c>
      <c r="G12" t="inlineStr">
        <is>
          <t>Austin</t>
        </is>
      </c>
      <c r="H12" t="inlineStr">
        <is>
          <t>Ninh</t>
        </is>
      </c>
      <c r="I12" t="inlineStr">
        <is>
          <t>Male</t>
        </is>
      </c>
      <c r="J12" t="n">
        <v>23</v>
      </c>
      <c r="K12" t="inlineStr">
        <is>
          <t>(714) 804-2815</t>
        </is>
      </c>
      <c r="L12" t="inlineStr">
        <is>
          <t>austin92841@gmail.com</t>
        </is>
      </c>
      <c r="M12" t="inlineStr">
        <is>
          <t>Basketball</t>
        </is>
      </c>
      <c r="N12" t="inlineStr">
        <is>
          <t>Mixed</t>
        </is>
      </c>
      <c r="O12" t="inlineStr">
        <is>
          <t>Team</t>
        </is>
      </c>
      <c r="P12" t="inlineStr"/>
      <c r="Q12" t="inlineStr"/>
    </row>
    <row r="13">
      <c r="A13" t="inlineStr">
        <is>
          <t>FVC</t>
        </is>
      </c>
      <c r="B13" t="inlineStr">
        <is>
          <t>3610914</t>
        </is>
      </c>
      <c r="C13" t="inlineStr">
        <is>
          <t>64</t>
        </is>
      </c>
      <c r="D13" t="inlineStr">
        <is>
          <t>validated</t>
        </is>
      </c>
      <c r="E13" t="b">
        <v>1</v>
      </c>
      <c r="F13">
        <f>IMAGE("https://chmeetings.blob.core.windows.net/846969/attachments/lN4DcHc006cgfECjmFHA/ffef9c1f-80b5-4973-9c35-271cc20fcf5b.jpg")</f>
        <v/>
      </c>
      <c r="G13" t="inlineStr">
        <is>
          <t>Isaiah</t>
        </is>
      </c>
      <c r="H13" t="inlineStr">
        <is>
          <t>Nguyen</t>
        </is>
      </c>
      <c r="I13" t="inlineStr">
        <is>
          <t>Male</t>
        </is>
      </c>
      <c r="J13" t="n">
        <v>23</v>
      </c>
      <c r="K13" t="inlineStr">
        <is>
          <t>(804) 549-2196</t>
        </is>
      </c>
      <c r="L13" t="inlineStr">
        <is>
          <t>Mylife2ezz@gmail.com</t>
        </is>
      </c>
      <c r="M13" t="inlineStr">
        <is>
          <t>Pickleball</t>
        </is>
      </c>
      <c r="N13" t="inlineStr">
        <is>
          <t>Men</t>
        </is>
      </c>
      <c r="O13" t="inlineStr">
        <is>
          <t>Doubles</t>
        </is>
      </c>
      <c r="P13" t="inlineStr"/>
      <c r="Q13" t="inlineStr">
        <is>
          <t>Dylan</t>
        </is>
      </c>
    </row>
    <row r="14">
      <c r="A14" t="inlineStr">
        <is>
          <t>FVC</t>
        </is>
      </c>
      <c r="B14" t="inlineStr">
        <is>
          <t>3610914</t>
        </is>
      </c>
      <c r="C14" t="inlineStr">
        <is>
          <t>64</t>
        </is>
      </c>
      <c r="D14" t="inlineStr">
        <is>
          <t>validated</t>
        </is>
      </c>
      <c r="E14" t="b">
        <v>1</v>
      </c>
      <c r="F14">
        <f>IMAGE("https://chmeetings.blob.core.windows.net/846969/attachments/lN4DcHc006cgfECjmFHA/ffef9c1f-80b5-4973-9c35-271cc20fcf5b.jpg")</f>
        <v/>
      </c>
      <c r="G14" t="inlineStr">
        <is>
          <t>Isaiah</t>
        </is>
      </c>
      <c r="H14" t="inlineStr">
        <is>
          <t>Nguyen</t>
        </is>
      </c>
      <c r="I14" t="inlineStr">
        <is>
          <t>Male</t>
        </is>
      </c>
      <c r="J14" t="n">
        <v>23</v>
      </c>
      <c r="K14" t="inlineStr">
        <is>
          <t>(804) 549-2196</t>
        </is>
      </c>
      <c r="L14" t="inlineStr">
        <is>
          <t>Mylife2ezz@gmail.com</t>
        </is>
      </c>
      <c r="M14" t="inlineStr">
        <is>
          <t>Table Tennis</t>
        </is>
      </c>
      <c r="N14" t="inlineStr">
        <is>
          <t>Mixed</t>
        </is>
      </c>
      <c r="O14" t="inlineStr">
        <is>
          <t>Team</t>
        </is>
      </c>
      <c r="P14" t="inlineStr"/>
      <c r="Q14" t="inlineStr"/>
    </row>
    <row r="15">
      <c r="A15" t="inlineStr">
        <is>
          <t>FVC</t>
        </is>
      </c>
      <c r="B15" t="inlineStr">
        <is>
          <t>3610876</t>
        </is>
      </c>
      <c r="C15" t="inlineStr">
        <is>
          <t>63</t>
        </is>
      </c>
      <c r="D15" t="inlineStr">
        <is>
          <t>validated</t>
        </is>
      </c>
      <c r="E15" t="b">
        <v>1</v>
      </c>
      <c r="F15">
        <f>IMAGE("https://chmeetings.blob.core.windows.net/846969/attachments/n1Hofh79IUm5BWBzi2R7Q/8fe13634-0662-46ec-bdb6-4b8b957d6ee6.jpg")</f>
        <v/>
      </c>
      <c r="G15" t="inlineStr">
        <is>
          <t>Christian</t>
        </is>
      </c>
      <c r="H15" t="inlineStr">
        <is>
          <t>Kadowaki</t>
        </is>
      </c>
      <c r="I15" t="inlineStr">
        <is>
          <t>Male</t>
        </is>
      </c>
      <c r="J15" t="n">
        <v>25</v>
      </c>
      <c r="K15" t="inlineStr">
        <is>
          <t>(714) 916-8835</t>
        </is>
      </c>
      <c r="L15" t="inlineStr">
        <is>
          <t>Christian.kadowaki@gmail.com</t>
        </is>
      </c>
      <c r="M15" t="inlineStr">
        <is>
          <t>Volleyball</t>
        </is>
      </c>
      <c r="N15" t="inlineStr">
        <is>
          <t>Men</t>
        </is>
      </c>
      <c r="O15" t="inlineStr">
        <is>
          <t>Team</t>
        </is>
      </c>
      <c r="P15" t="inlineStr"/>
      <c r="Q15" t="inlineStr"/>
    </row>
    <row r="16">
      <c r="A16" t="inlineStr">
        <is>
          <t>FVC</t>
        </is>
      </c>
      <c r="B16" t="inlineStr">
        <is>
          <t>3627369</t>
        </is>
      </c>
      <c r="C16" t="inlineStr">
        <is>
          <t>123</t>
        </is>
      </c>
      <c r="D16" t="inlineStr">
        <is>
          <t>validated</t>
        </is>
      </c>
      <c r="E16" t="b">
        <v>1</v>
      </c>
      <c r="F16">
        <f>IMAGE("https://chmeetings.blob.core.windows.net/846969/attachments/t481xJpLEm6DJ1S3KMOw/c689801f-da1e-4bd9-93e3-e81c0fd45646.jpg")</f>
        <v/>
      </c>
      <c r="G16" t="inlineStr">
        <is>
          <t>Andrew</t>
        </is>
      </c>
      <c r="H16" t="inlineStr">
        <is>
          <t>Ly</t>
        </is>
      </c>
      <c r="I16" t="inlineStr">
        <is>
          <t>Male</t>
        </is>
      </c>
      <c r="J16" t="n">
        <v>22</v>
      </c>
      <c r="K16" t="inlineStr">
        <is>
          <t>(818) 818-2168</t>
        </is>
      </c>
      <c r="L16" t="inlineStr">
        <is>
          <t>andrewbenjily@gmail.com</t>
        </is>
      </c>
      <c r="M16" t="inlineStr">
        <is>
          <t>Volleyball</t>
        </is>
      </c>
      <c r="N16" t="inlineStr">
        <is>
          <t>Men</t>
        </is>
      </c>
      <c r="O16" t="inlineStr">
        <is>
          <t>Team</t>
        </is>
      </c>
      <c r="P16" t="inlineStr"/>
      <c r="Q16" t="inlineStr"/>
    </row>
    <row r="17">
      <c r="A17" t="inlineStr">
        <is>
          <t>FVC</t>
        </is>
      </c>
      <c r="B17" t="inlineStr">
        <is>
          <t>3632512</t>
        </is>
      </c>
      <c r="C17" t="inlineStr">
        <is>
          <t>124</t>
        </is>
      </c>
      <c r="D17" t="inlineStr">
        <is>
          <t>validated</t>
        </is>
      </c>
      <c r="E17" t="b">
        <v>1</v>
      </c>
      <c r="F17">
        <f>IMAGE("https://chmeetings.blob.core.windows.net/846969/attachments/GgPuAWUyd0CYczyLH9zVPA/3e25232f-7533-4819-8952-60c539b8dcfc.jpg")</f>
        <v/>
      </c>
      <c r="G17" t="inlineStr">
        <is>
          <t>Benjamin</t>
        </is>
      </c>
      <c r="H17" t="inlineStr">
        <is>
          <t>Ly</t>
        </is>
      </c>
      <c r="I17" t="inlineStr">
        <is>
          <t>Male</t>
        </is>
      </c>
      <c r="J17" t="n">
        <v>19</v>
      </c>
      <c r="K17" t="inlineStr">
        <is>
          <t>(818) 818-0156</t>
        </is>
      </c>
      <c r="L17" t="inlineStr">
        <is>
          <t>benjaminandrewly@gmail.com</t>
        </is>
      </c>
      <c r="M17" t="inlineStr">
        <is>
          <t>Volleyball</t>
        </is>
      </c>
      <c r="N17" t="inlineStr">
        <is>
          <t>Men</t>
        </is>
      </c>
      <c r="O17" t="inlineStr">
        <is>
          <t>Team</t>
        </is>
      </c>
      <c r="P17" t="inlineStr"/>
      <c r="Q17" t="inlineStr"/>
    </row>
    <row r="18">
      <c r="A18" t="inlineStr">
        <is>
          <t>FVC</t>
        </is>
      </c>
      <c r="B18" t="inlineStr">
        <is>
          <t>3624648</t>
        </is>
      </c>
      <c r="C18" t="inlineStr">
        <is>
          <t>127</t>
        </is>
      </c>
      <c r="D18" t="inlineStr">
        <is>
          <t>validated</t>
        </is>
      </c>
      <c r="E18" t="b">
        <v>1</v>
      </c>
      <c r="F18">
        <f>IMAGE("https://chmeetings.blob.core.windows.net/846969/attachments/qj11d0mfBkIH30v4IwKQ/8cb9a967-e055-467f-a161-492dfc732b2c.jpg")</f>
        <v/>
      </c>
      <c r="G18" t="inlineStr">
        <is>
          <t>Justin</t>
        </is>
      </c>
      <c r="H18" t="inlineStr">
        <is>
          <t>Nguyen</t>
        </is>
      </c>
      <c r="I18" t="inlineStr">
        <is>
          <t>Male</t>
        </is>
      </c>
      <c r="J18" t="n">
        <v>23</v>
      </c>
      <c r="K18" t="inlineStr">
        <is>
          <t>(951) 496-9385</t>
        </is>
      </c>
      <c r="L18" t="inlineStr">
        <is>
          <t>justinqnguyen3@gmail.com</t>
        </is>
      </c>
      <c r="M18" t="inlineStr">
        <is>
          <t>Volleyball</t>
        </is>
      </c>
      <c r="N18" t="inlineStr">
        <is>
          <t>Men</t>
        </is>
      </c>
      <c r="O18" t="inlineStr">
        <is>
          <t>Team</t>
        </is>
      </c>
      <c r="P18" t="inlineStr"/>
      <c r="Q18" t="inlineStr"/>
    </row>
    <row r="19">
      <c r="A19" t="inlineStr">
        <is>
          <t>FVC</t>
        </is>
      </c>
      <c r="B19" t="inlineStr">
        <is>
          <t>3631514</t>
        </is>
      </c>
      <c r="C19" t="inlineStr">
        <is>
          <t>126</t>
        </is>
      </c>
      <c r="D19" t="inlineStr">
        <is>
          <t>validated</t>
        </is>
      </c>
      <c r="E19" t="b">
        <v>1</v>
      </c>
      <c r="F19">
        <f>IMAGE("https://chmeetings.blob.core.windows.net/846969/attachments/HXcI779CL0aJOqFhGcSWLA/23e4d46f-117e-46f1-82af-bf51c169d43b.jpg")</f>
        <v/>
      </c>
      <c r="G19" t="inlineStr">
        <is>
          <t>Evan</t>
        </is>
      </c>
      <c r="H19" t="inlineStr">
        <is>
          <t>Pham</t>
        </is>
      </c>
      <c r="I19" t="inlineStr">
        <is>
          <t>Male</t>
        </is>
      </c>
      <c r="J19" t="n">
        <v>19</v>
      </c>
      <c r="K19" t="inlineStr">
        <is>
          <t>(714) 657-5917</t>
        </is>
      </c>
      <c r="L19" t="inlineStr">
        <is>
          <t>evanjpham@gmail.com</t>
        </is>
      </c>
      <c r="M19" t="inlineStr">
        <is>
          <t>Volleyball</t>
        </is>
      </c>
      <c r="N19" t="inlineStr">
        <is>
          <t>Men</t>
        </is>
      </c>
      <c r="O19" t="inlineStr">
        <is>
          <t>Team</t>
        </is>
      </c>
      <c r="P19" t="inlineStr"/>
      <c r="Q19" t="inlineStr"/>
    </row>
    <row r="20">
      <c r="A20" t="inlineStr">
        <is>
          <t>FVC</t>
        </is>
      </c>
      <c r="B20" t="inlineStr">
        <is>
          <t>3635284</t>
        </is>
      </c>
      <c r="C20" t="inlineStr">
        <is>
          <t>62</t>
        </is>
      </c>
      <c r="D20" t="inlineStr">
        <is>
          <t>validated</t>
        </is>
      </c>
      <c r="E20" t="b">
        <v>1</v>
      </c>
      <c r="F20">
        <f>IMAGE("https://chmeetings.blob.core.windows.net/846969/attachments/LFoY7ApFX0iK7b8bAJ9IQ/5c24585e-77d3-4091-92bd-281bb4879e90.jpg")</f>
        <v/>
      </c>
      <c r="G20" t="inlineStr">
        <is>
          <t>Boi Boi</t>
        </is>
      </c>
      <c r="H20" t="inlineStr">
        <is>
          <t>Vo</t>
        </is>
      </c>
      <c r="I20" t="inlineStr">
        <is>
          <t>Male</t>
        </is>
      </c>
      <c r="J20" t="n">
        <v>19</v>
      </c>
      <c r="K20" t="inlineStr">
        <is>
          <t>(657) 340-9539</t>
        </is>
      </c>
      <c r="L20" t="inlineStr">
        <is>
          <t>Boiiboivo@gmail.com</t>
        </is>
      </c>
      <c r="M20" t="inlineStr">
        <is>
          <t>Volleyball</t>
        </is>
      </c>
      <c r="N20" t="inlineStr">
        <is>
          <t>Men</t>
        </is>
      </c>
      <c r="O20" t="inlineStr">
        <is>
          <t>Team</t>
        </is>
      </c>
      <c r="P20" t="inlineStr"/>
      <c r="Q20" t="inlineStr"/>
    </row>
    <row r="21">
      <c r="A21" t="inlineStr">
        <is>
          <t>FVC</t>
        </is>
      </c>
      <c r="B21" t="inlineStr">
        <is>
          <t>3631513</t>
        </is>
      </c>
      <c r="C21" t="inlineStr">
        <is>
          <t>125</t>
        </is>
      </c>
      <c r="D21" t="inlineStr">
        <is>
          <t>validated</t>
        </is>
      </c>
      <c r="E21" t="b">
        <v>1</v>
      </c>
      <c r="F21">
        <f>IMAGE("https://chmeetings.blob.core.windows.net/846969/attachments/LctiwClonEOGNeDDzhDfLQ/1737a3f3-5776-4b28-84cd-1539661ebad3.jpg")</f>
        <v/>
      </c>
      <c r="G21" t="inlineStr">
        <is>
          <t>Brianna</t>
        </is>
      </c>
      <c r="H21" t="inlineStr">
        <is>
          <t>Pham</t>
        </is>
      </c>
      <c r="I21" t="inlineStr">
        <is>
          <t>Female</t>
        </is>
      </c>
      <c r="J21" t="n">
        <v>26</v>
      </c>
      <c r="K21" t="inlineStr">
        <is>
          <t>(714) 622-9590</t>
        </is>
      </c>
      <c r="L21" t="inlineStr">
        <is>
          <t>briannajpham@gmail.com</t>
        </is>
      </c>
      <c r="M21" t="inlineStr">
        <is>
          <t>Volleyball</t>
        </is>
      </c>
      <c r="N21" t="inlineStr">
        <is>
          <t>Women</t>
        </is>
      </c>
      <c r="O21" t="inlineStr">
        <is>
          <t>Team</t>
        </is>
      </c>
      <c r="P21" t="inlineStr"/>
      <c r="Q21" t="inlineStr"/>
    </row>
    <row r="22">
      <c r="A22" t="inlineStr">
        <is>
          <t>FVC</t>
        </is>
      </c>
      <c r="B22" t="inlineStr">
        <is>
          <t>3631886</t>
        </is>
      </c>
      <c r="C22" t="inlineStr">
        <is>
          <t>68</t>
        </is>
      </c>
      <c r="D22" t="inlineStr">
        <is>
          <t>validated</t>
        </is>
      </c>
      <c r="E22" t="b">
        <v>1</v>
      </c>
      <c r="F22">
        <f>IMAGE("https://chmeetings.blob.core.windows.net/846969/attachments/DkJl6YJH8U2PP1rKWS5Uw/061b8791-e127-4834-bc55-a904d4dd79a2.jpg")</f>
        <v/>
      </c>
      <c r="G22" t="inlineStr">
        <is>
          <t>Theresa</t>
        </is>
      </c>
      <c r="H22" t="inlineStr">
        <is>
          <t>Tran</t>
        </is>
      </c>
      <c r="I22" t="inlineStr">
        <is>
          <t>Female</t>
        </is>
      </c>
      <c r="J22" t="n">
        <v>31</v>
      </c>
      <c r="K22" t="inlineStr">
        <is>
          <t>(714) 386-8878</t>
        </is>
      </c>
      <c r="L22" t="inlineStr">
        <is>
          <t>choochootrann@csu.fullerton.edu</t>
        </is>
      </c>
      <c r="M22" t="inlineStr">
        <is>
          <t>Volleyball</t>
        </is>
      </c>
      <c r="N22" t="inlineStr">
        <is>
          <t>Women</t>
        </is>
      </c>
      <c r="O22" t="inlineStr">
        <is>
          <t>Team</t>
        </is>
      </c>
      <c r="P22" t="inlineStr"/>
      <c r="Q22" t="inlineStr"/>
    </row>
    <row r="23">
      <c r="A23" t="inlineStr">
        <is>
          <t>GAC</t>
        </is>
      </c>
      <c r="B23" t="inlineStr">
        <is>
          <t>3610916</t>
        </is>
      </c>
      <c r="C23" t="inlineStr">
        <is>
          <t>106</t>
        </is>
      </c>
      <c r="D23" t="inlineStr">
        <is>
          <t>validated</t>
        </is>
      </c>
      <c r="E23" t="b">
        <v>1</v>
      </c>
      <c r="F23">
        <f>IMAGE("https://chmeetings.blob.core.windows.net/846969/attachments/R2ULqwBOzEcfjGBlZ6NOg/e7732b7a-5531-4a12-957e-aaf157b04b52.jpg")</f>
        <v/>
      </c>
      <c r="G23" t="inlineStr">
        <is>
          <t>Dung</t>
        </is>
      </c>
      <c r="H23" t="inlineStr">
        <is>
          <t>Nguyen</t>
        </is>
      </c>
      <c r="I23" t="inlineStr">
        <is>
          <t>Male</t>
        </is>
      </c>
      <c r="J23" t="n">
        <v>34</v>
      </c>
      <c r="K23" t="inlineStr">
        <is>
          <t>(408) 816-9773</t>
        </is>
      </c>
      <c r="L23" t="inlineStr">
        <is>
          <t>Adn@duck.com</t>
        </is>
      </c>
      <c r="M23" t="inlineStr">
        <is>
          <t>Badminton</t>
        </is>
      </c>
      <c r="N23" t="inlineStr">
        <is>
          <t>Mixed</t>
        </is>
      </c>
      <c r="O23" t="inlineStr">
        <is>
          <t>Doubles</t>
        </is>
      </c>
      <c r="P23" t="inlineStr"/>
      <c r="Q23" t="inlineStr">
        <is>
          <t>Nhi Nguyen</t>
        </is>
      </c>
    </row>
    <row r="24">
      <c r="A24" t="inlineStr">
        <is>
          <t>GAC</t>
        </is>
      </c>
      <c r="B24" t="inlineStr">
        <is>
          <t>4362356</t>
        </is>
      </c>
      <c r="C24" t="inlineStr">
        <is>
          <t>115</t>
        </is>
      </c>
      <c r="D24" t="inlineStr">
        <is>
          <t>validated</t>
        </is>
      </c>
      <c r="E24" t="b">
        <v>1</v>
      </c>
      <c r="F24">
        <f>IMAGE("https://chmeetings.blob.core.windows.net/846969/attachments/b2wuZtU20k6fS0QeesnJyQ/59603b15-0eb7-4a31-a342-a678670261a5.jpg")</f>
        <v/>
      </c>
      <c r="G24" t="inlineStr">
        <is>
          <t>Truc Nhi</t>
        </is>
      </c>
      <c r="H24" t="inlineStr">
        <is>
          <t>Nguyen</t>
        </is>
      </c>
      <c r="I24" t="inlineStr">
        <is>
          <t>Female</t>
        </is>
      </c>
      <c r="J24" t="n">
        <v>34</v>
      </c>
      <c r="K24" t="inlineStr">
        <is>
          <t>(408) 442-7876</t>
        </is>
      </c>
      <c r="L24" t="inlineStr">
        <is>
          <t>email.truc.nguyen@gmail.com</t>
        </is>
      </c>
      <c r="M24" t="inlineStr">
        <is>
          <t>Badminton</t>
        </is>
      </c>
      <c r="N24" t="inlineStr">
        <is>
          <t>Mixed</t>
        </is>
      </c>
      <c r="O24" t="inlineStr">
        <is>
          <t>Doubles</t>
        </is>
      </c>
      <c r="P24" t="inlineStr"/>
      <c r="Q24" t="inlineStr">
        <is>
          <t>Dung Nguyen</t>
        </is>
      </c>
    </row>
    <row r="25">
      <c r="A25" t="inlineStr">
        <is>
          <t>GAC</t>
        </is>
      </c>
      <c r="B25" t="inlineStr">
        <is>
          <t>3615957</t>
        </is>
      </c>
      <c r="C25" t="inlineStr">
        <is>
          <t>110</t>
        </is>
      </c>
      <c r="D25" t="inlineStr">
        <is>
          <t>validated</t>
        </is>
      </c>
      <c r="E25" t="b">
        <v>1</v>
      </c>
      <c r="F25">
        <f>IMAGE("https://chmeetings.blob.core.windows.net/846969/attachments/Kdpjhjg39UmtS12V5Nbyyg/bbe6199a-c907-413d-b103-9e4128d54753.jpg")</f>
        <v/>
      </c>
      <c r="G25" t="inlineStr">
        <is>
          <t>Minhthu</t>
        </is>
      </c>
      <c r="H25" t="inlineStr">
        <is>
          <t>Bui</t>
        </is>
      </c>
      <c r="I25" t="inlineStr">
        <is>
          <t>Female</t>
        </is>
      </c>
      <c r="J25" t="n">
        <v>34</v>
      </c>
      <c r="K25" t="inlineStr">
        <is>
          <t>(714) 548-5798</t>
        </is>
      </c>
      <c r="L25" t="inlineStr">
        <is>
          <t>Mtbui03@gmail.com</t>
        </is>
      </c>
      <c r="M25" t="inlineStr">
        <is>
          <t>Badminton</t>
        </is>
      </c>
      <c r="N25" t="inlineStr">
        <is>
          <t>Women</t>
        </is>
      </c>
      <c r="O25" t="inlineStr">
        <is>
          <t>Doubles</t>
        </is>
      </c>
      <c r="P25" t="inlineStr"/>
      <c r="Q25" t="inlineStr">
        <is>
          <t>Nhi Nguyen</t>
        </is>
      </c>
    </row>
    <row r="26">
      <c r="A26" t="inlineStr">
        <is>
          <t>GAC</t>
        </is>
      </c>
      <c r="B26" t="inlineStr">
        <is>
          <t>4362356</t>
        </is>
      </c>
      <c r="C26" t="inlineStr">
        <is>
          <t>115</t>
        </is>
      </c>
      <c r="D26" t="inlineStr">
        <is>
          <t>validated</t>
        </is>
      </c>
      <c r="E26" t="b">
        <v>1</v>
      </c>
      <c r="F26">
        <f>IMAGE("https://chmeetings.blob.core.windows.net/846969/attachments/b2wuZtU20k6fS0QeesnJyQ/59603b15-0eb7-4a31-a342-a678670261a5.jpg")</f>
        <v/>
      </c>
      <c r="G26" t="inlineStr">
        <is>
          <t>Truc Nhi</t>
        </is>
      </c>
      <c r="H26" t="inlineStr">
        <is>
          <t>Nguyen</t>
        </is>
      </c>
      <c r="I26" t="inlineStr">
        <is>
          <t>Female</t>
        </is>
      </c>
      <c r="J26" t="n">
        <v>34</v>
      </c>
      <c r="K26" t="inlineStr">
        <is>
          <t>(408) 442-7876</t>
        </is>
      </c>
      <c r="L26" t="inlineStr">
        <is>
          <t>email.truc.nguyen@gmail.com</t>
        </is>
      </c>
      <c r="M26" t="inlineStr">
        <is>
          <t>Badminton</t>
        </is>
      </c>
      <c r="N26" t="inlineStr">
        <is>
          <t>Women</t>
        </is>
      </c>
      <c r="O26" t="inlineStr">
        <is>
          <t>Doubles</t>
        </is>
      </c>
      <c r="P26" t="inlineStr"/>
      <c r="Q26" t="inlineStr">
        <is>
          <t>Minh Thu Bui</t>
        </is>
      </c>
    </row>
    <row r="27">
      <c r="A27" t="inlineStr">
        <is>
          <t>GAC</t>
        </is>
      </c>
      <c r="B27" t="inlineStr">
        <is>
          <t>3618803</t>
        </is>
      </c>
      <c r="C27" t="inlineStr">
        <is>
          <t>47</t>
        </is>
      </c>
      <c r="D27" t="inlineStr">
        <is>
          <t>validated</t>
        </is>
      </c>
      <c r="E27" t="b">
        <v>1</v>
      </c>
      <c r="F27">
        <f>IMAGE("https://chmeetings.blob.core.windows.net/846969/attachments/8RaR3P2EW0W4gXH4RYhbTA/5ceea1d8-d408-4951-80f1-990d0318e7f1.jpg")</f>
        <v/>
      </c>
      <c r="G27" t="inlineStr">
        <is>
          <t>Brendan</t>
        </is>
      </c>
      <c r="H27" t="inlineStr">
        <is>
          <t>Chau</t>
        </is>
      </c>
      <c r="I27" t="inlineStr">
        <is>
          <t>Male</t>
        </is>
      </c>
      <c r="J27" t="n">
        <v>28</v>
      </c>
      <c r="K27" t="inlineStr">
        <is>
          <t>(408) 781-6867</t>
        </is>
      </c>
      <c r="L27" t="inlineStr">
        <is>
          <t>bvanchau35@gmail.com</t>
        </is>
      </c>
      <c r="M27" t="inlineStr">
        <is>
          <t>Basketball</t>
        </is>
      </c>
      <c r="N27" t="inlineStr">
        <is>
          <t>Mixed</t>
        </is>
      </c>
      <c r="O27" t="inlineStr">
        <is>
          <t>Team</t>
        </is>
      </c>
      <c r="P27" t="inlineStr"/>
      <c r="Q27" t="inlineStr"/>
    </row>
    <row r="28">
      <c r="A28" t="inlineStr">
        <is>
          <t>GAC</t>
        </is>
      </c>
      <c r="B28" t="inlineStr">
        <is>
          <t>4361952</t>
        </is>
      </c>
      <c r="C28" t="inlineStr">
        <is>
          <t>57</t>
        </is>
      </c>
      <c r="D28" t="inlineStr">
        <is>
          <t>pending</t>
        </is>
      </c>
      <c r="E28" t="b">
        <v>1</v>
      </c>
      <c r="F28">
        <f>IMAGE("https://chmeetings.blob.core.windows.net/846969/attachments/Hjxi9RYULUCBzV5lFGI92Q/b0ae99dc-29e8-4902-8dad-c2ffe54bf1b2.jpg")</f>
        <v/>
      </c>
      <c r="G28" t="inlineStr">
        <is>
          <t>Michael</t>
        </is>
      </c>
      <c r="H28" t="inlineStr">
        <is>
          <t>Cisneros</t>
        </is>
      </c>
      <c r="I28" t="inlineStr">
        <is>
          <t>Male</t>
        </is>
      </c>
      <c r="J28" t="n">
        <v>16</v>
      </c>
      <c r="K28" t="inlineStr">
        <is>
          <t>(925) 826-9988</t>
        </is>
      </c>
      <c r="L28" t="inlineStr">
        <is>
          <t>michael.cisneros03@icloud.com</t>
        </is>
      </c>
      <c r="M28" t="inlineStr">
        <is>
          <t>Basketball</t>
        </is>
      </c>
      <c r="N28" t="inlineStr">
        <is>
          <t>Mixed</t>
        </is>
      </c>
      <c r="O28" t="inlineStr">
        <is>
          <t>Team</t>
        </is>
      </c>
      <c r="P28" t="inlineStr"/>
      <c r="Q28" t="inlineStr"/>
    </row>
    <row r="29">
      <c r="A29" t="inlineStr">
        <is>
          <t>GAC</t>
        </is>
      </c>
      <c r="B29" t="inlineStr">
        <is>
          <t>3616069</t>
        </is>
      </c>
      <c r="C29" t="inlineStr">
        <is>
          <t>48</t>
        </is>
      </c>
      <c r="D29" t="inlineStr">
        <is>
          <t>validated</t>
        </is>
      </c>
      <c r="E29" t="b">
        <v>1</v>
      </c>
      <c r="F29">
        <f>IMAGE("https://chmeetings.blob.core.windows.net/846969/attachments/O8QD4sgd0CUWG0wYocsQ/50c2d27b-96d9-4dc3-8835-56e05b828e31.jpg")</f>
        <v/>
      </c>
      <c r="G29" t="inlineStr">
        <is>
          <t>Brian</t>
        </is>
      </c>
      <c r="H29" t="inlineStr">
        <is>
          <t>Le</t>
        </is>
      </c>
      <c r="I29" t="inlineStr">
        <is>
          <t>Male</t>
        </is>
      </c>
      <c r="J29" t="n">
        <v>26</v>
      </c>
      <c r="K29" t="inlineStr">
        <is>
          <t>(669) 255-1182</t>
        </is>
      </c>
      <c r="L29" t="inlineStr">
        <is>
          <t>lebrian0708@gmail.com</t>
        </is>
      </c>
      <c r="M29" t="inlineStr">
        <is>
          <t>Basketball</t>
        </is>
      </c>
      <c r="N29" t="inlineStr">
        <is>
          <t>Mixed</t>
        </is>
      </c>
      <c r="O29" t="inlineStr">
        <is>
          <t>Team</t>
        </is>
      </c>
      <c r="P29" t="inlineStr"/>
      <c r="Q29" t="inlineStr"/>
    </row>
    <row r="30">
      <c r="A30" t="inlineStr">
        <is>
          <t>GAC</t>
        </is>
      </c>
      <c r="B30" t="inlineStr">
        <is>
          <t>3623145</t>
        </is>
      </c>
      <c r="C30" t="inlineStr">
        <is>
          <t>49</t>
        </is>
      </c>
      <c r="D30" t="inlineStr">
        <is>
          <t>pending</t>
        </is>
      </c>
      <c r="E30" t="b">
        <v>1</v>
      </c>
      <c r="F30">
        <f>IMAGE("https://chmeetings.blob.core.windows.net/846969/attachments/0thvFv8nzUSwHPFCj8rLmw/70d3cc8f-121f-41dd-afb3-47222f355027.jpg")</f>
        <v/>
      </c>
      <c r="G30" t="inlineStr">
        <is>
          <t>Elijah</t>
        </is>
      </c>
      <c r="H30" t="inlineStr">
        <is>
          <t>Nguyen</t>
        </is>
      </c>
      <c r="I30" t="inlineStr">
        <is>
          <t>Male</t>
        </is>
      </c>
      <c r="J30" t="n">
        <v>14</v>
      </c>
      <c r="K30" t="inlineStr">
        <is>
          <t>(408) 772-9825</t>
        </is>
      </c>
      <c r="L30" t="inlineStr">
        <is>
          <t>write2phuong2020@gmail.com</t>
        </is>
      </c>
      <c r="M30" t="inlineStr">
        <is>
          <t>Basketball</t>
        </is>
      </c>
      <c r="N30" t="inlineStr">
        <is>
          <t>Mixed</t>
        </is>
      </c>
      <c r="O30" t="inlineStr">
        <is>
          <t>Team</t>
        </is>
      </c>
      <c r="P30" t="inlineStr"/>
      <c r="Q30" t="inlineStr"/>
    </row>
    <row r="31">
      <c r="A31" t="inlineStr">
        <is>
          <t>GAC</t>
        </is>
      </c>
      <c r="B31" t="inlineStr">
        <is>
          <t>3618805</t>
        </is>
      </c>
      <c r="C31" t="inlineStr">
        <is>
          <t>58</t>
        </is>
      </c>
      <c r="D31" t="inlineStr">
        <is>
          <t>validated</t>
        </is>
      </c>
      <c r="E31" t="b">
        <v>1</v>
      </c>
      <c r="F31">
        <f>IMAGE("https://chmeetings.blob.core.windows.net/846969/attachments/LTROBmGRkCWpy8F2k5MTw/da39bbfc-1e59-4f38-adaf-49a6ca09829b.jpg")</f>
        <v/>
      </c>
      <c r="G31" t="inlineStr">
        <is>
          <t>Michael</t>
        </is>
      </c>
      <c r="H31" t="inlineStr">
        <is>
          <t>Nguyen</t>
        </is>
      </c>
      <c r="I31" t="inlineStr">
        <is>
          <t>Male</t>
        </is>
      </c>
      <c r="J31" t="n">
        <v>23</v>
      </c>
      <c r="K31" t="inlineStr">
        <is>
          <t>(408) 609-6205</t>
        </is>
      </c>
      <c r="L31" t="inlineStr">
        <is>
          <t>michaelthonguyen@gmail.com</t>
        </is>
      </c>
      <c r="M31" t="inlineStr">
        <is>
          <t>Basketball</t>
        </is>
      </c>
      <c r="N31" t="inlineStr">
        <is>
          <t>Mixed</t>
        </is>
      </c>
      <c r="O31" t="inlineStr">
        <is>
          <t>Team</t>
        </is>
      </c>
      <c r="P31" t="inlineStr"/>
      <c r="Q31" t="inlineStr"/>
    </row>
    <row r="32">
      <c r="A32" t="inlineStr">
        <is>
          <t>GAC</t>
        </is>
      </c>
      <c r="B32" t="inlineStr">
        <is>
          <t>3636819</t>
        </is>
      </c>
      <c r="C32" t="inlineStr">
        <is>
          <t>53</t>
        </is>
      </c>
      <c r="D32" t="inlineStr">
        <is>
          <t>validated</t>
        </is>
      </c>
      <c r="E32" t="b">
        <v>1</v>
      </c>
      <c r="F32">
        <f>IMAGE("https://chmeetings.blob.core.windows.net/846969/attachments/2EMW7UJtRk6APQ4qdfqDcA/cae1b6ba-c323-4927-8239-f131801812c4.jpg")</f>
        <v/>
      </c>
      <c r="G32" t="inlineStr">
        <is>
          <t>Jeremy</t>
        </is>
      </c>
      <c r="H32" t="inlineStr">
        <is>
          <t>OConnor</t>
        </is>
      </c>
      <c r="I32" t="inlineStr">
        <is>
          <t>Male</t>
        </is>
      </c>
      <c r="J32" t="n">
        <v>28</v>
      </c>
      <c r="K32" t="inlineStr">
        <is>
          <t>(408) 728-2130</t>
        </is>
      </c>
      <c r="L32" t="inlineStr">
        <is>
          <t>jeremyoc241@gmail.com</t>
        </is>
      </c>
      <c r="M32" t="inlineStr">
        <is>
          <t>Basketball</t>
        </is>
      </c>
      <c r="N32" t="inlineStr">
        <is>
          <t>Mixed</t>
        </is>
      </c>
      <c r="O32" t="inlineStr">
        <is>
          <t>Team</t>
        </is>
      </c>
      <c r="P32" t="inlineStr"/>
      <c r="Q32" t="inlineStr"/>
    </row>
    <row r="33">
      <c r="A33" t="inlineStr">
        <is>
          <t>GAC</t>
        </is>
      </c>
      <c r="B33" t="inlineStr">
        <is>
          <t>3615948</t>
        </is>
      </c>
      <c r="C33" t="inlineStr">
        <is>
          <t>46</t>
        </is>
      </c>
      <c r="D33" t="inlineStr">
        <is>
          <t>validated</t>
        </is>
      </c>
      <c r="E33" t="b">
        <v>1</v>
      </c>
      <c r="F33">
        <f>IMAGE("https://chmeetings.blob.core.windows.net/846969/attachments/jl2i4eVeYECLBJcTyk7tA/55b9f204-7df3-4ccf-ba35-08d5400d946c.jpg")</f>
        <v/>
      </c>
      <c r="G33" t="inlineStr">
        <is>
          <t>Anthony</t>
        </is>
      </c>
      <c r="H33" t="inlineStr">
        <is>
          <t>Ta</t>
        </is>
      </c>
      <c r="I33" t="inlineStr">
        <is>
          <t>Male</t>
        </is>
      </c>
      <c r="J33" t="n">
        <v>25</v>
      </c>
      <c r="K33" t="inlineStr">
        <is>
          <t>502</t>
        </is>
      </c>
      <c r="L33" t="inlineStr">
        <is>
          <t>anthonyta502@gmail.com</t>
        </is>
      </c>
      <c r="M33" t="inlineStr">
        <is>
          <t>Basketball</t>
        </is>
      </c>
      <c r="N33" t="inlineStr">
        <is>
          <t>Mixed</t>
        </is>
      </c>
      <c r="O33" t="inlineStr">
        <is>
          <t>Team</t>
        </is>
      </c>
      <c r="P33" t="inlineStr"/>
      <c r="Q33" t="inlineStr"/>
    </row>
    <row r="34">
      <c r="A34" t="inlineStr">
        <is>
          <t>GAC</t>
        </is>
      </c>
      <c r="B34" t="inlineStr">
        <is>
          <t>3615957</t>
        </is>
      </c>
      <c r="C34" t="inlineStr">
        <is>
          <t>110</t>
        </is>
      </c>
      <c r="D34" t="inlineStr">
        <is>
          <t>validated</t>
        </is>
      </c>
      <c r="E34" t="b">
        <v>1</v>
      </c>
      <c r="F34">
        <f>IMAGE("https://chmeetings.blob.core.windows.net/846969/attachments/Kdpjhjg39UmtS12V5Nbyyg/bbe6199a-c907-413d-b103-9e4128d54753.jpg")</f>
        <v/>
      </c>
      <c r="G34" t="inlineStr">
        <is>
          <t>Minhthu</t>
        </is>
      </c>
      <c r="H34" t="inlineStr">
        <is>
          <t>Bui</t>
        </is>
      </c>
      <c r="I34" t="inlineStr">
        <is>
          <t>Female</t>
        </is>
      </c>
      <c r="J34" t="n">
        <v>34</v>
      </c>
      <c r="K34" t="inlineStr">
        <is>
          <t>(714) 548-5798</t>
        </is>
      </c>
      <c r="L34" t="inlineStr">
        <is>
          <t>Mtbui03@gmail.com</t>
        </is>
      </c>
      <c r="M34" t="inlineStr">
        <is>
          <t>Bible Challenge</t>
        </is>
      </c>
      <c r="N34" t="inlineStr">
        <is>
          <t>Mixed</t>
        </is>
      </c>
      <c r="O34" t="inlineStr">
        <is>
          <t>Team</t>
        </is>
      </c>
      <c r="P34" t="inlineStr"/>
      <c r="Q34" t="inlineStr"/>
    </row>
    <row r="35">
      <c r="A35" t="inlineStr">
        <is>
          <t>GAC</t>
        </is>
      </c>
      <c r="B35" t="inlineStr">
        <is>
          <t>3624650</t>
        </is>
      </c>
      <c r="C35" t="inlineStr">
        <is>
          <t>113</t>
        </is>
      </c>
      <c r="D35" t="inlineStr">
        <is>
          <t>validated</t>
        </is>
      </c>
      <c r="E35" t="b">
        <v>1</v>
      </c>
      <c r="F35">
        <f>IMAGE("https://chmeetings.blob.core.windows.net/846969/attachments/WE2MhiU60KpfrwsRDOWw/80708536-016c-42fa-95f4-079cf3a43697.jpg")</f>
        <v/>
      </c>
      <c r="G35" t="inlineStr">
        <is>
          <t>Tiffany</t>
        </is>
      </c>
      <c r="H35" t="inlineStr">
        <is>
          <t>Nguyen</t>
        </is>
      </c>
      <c r="I35" t="inlineStr">
        <is>
          <t>Female</t>
        </is>
      </c>
      <c r="J35" t="n">
        <v>21</v>
      </c>
      <c r="K35" t="inlineStr">
        <is>
          <t>(669) 215-5720</t>
        </is>
      </c>
      <c r="L35" t="inlineStr">
        <is>
          <t>tiffanyashlyn@gmail.com</t>
        </is>
      </c>
      <c r="M35" t="inlineStr">
        <is>
          <t>Bible Challenge</t>
        </is>
      </c>
      <c r="N35" t="inlineStr">
        <is>
          <t>Mixed</t>
        </is>
      </c>
      <c r="O35" t="inlineStr">
        <is>
          <t>Team</t>
        </is>
      </c>
      <c r="P35" t="inlineStr"/>
      <c r="Q35" t="inlineStr"/>
    </row>
    <row r="36">
      <c r="A36" t="inlineStr">
        <is>
          <t>GAC</t>
        </is>
      </c>
      <c r="B36" t="inlineStr">
        <is>
          <t>3610917</t>
        </is>
      </c>
      <c r="C36" t="inlineStr">
        <is>
          <t>56</t>
        </is>
      </c>
      <c r="D36" t="inlineStr">
        <is>
          <t>validated</t>
        </is>
      </c>
      <c r="E36" t="b">
        <v>1</v>
      </c>
      <c r="F36">
        <f>IMAGE("https://chmeetings.blob.core.windows.net/846969/attachments/dbPn6hwRbUmuEMeKWTNWxg/56cb0979-8b71-4c8e-9f5b-db9d018e400f.jpg")</f>
        <v/>
      </c>
      <c r="G36" t="inlineStr">
        <is>
          <t>Kayla</t>
        </is>
      </c>
      <c r="H36" t="inlineStr">
        <is>
          <t>Vo</t>
        </is>
      </c>
      <c r="I36" t="inlineStr">
        <is>
          <t>Female</t>
        </is>
      </c>
      <c r="J36" t="n">
        <v>19</v>
      </c>
      <c r="K36" t="inlineStr">
        <is>
          <t>(510) 774-2614</t>
        </is>
      </c>
      <c r="L36" t="inlineStr">
        <is>
          <t>kaimyvo@gmail.com</t>
        </is>
      </c>
      <c r="M36" t="inlineStr">
        <is>
          <t>Bible Challenge</t>
        </is>
      </c>
      <c r="N36" t="inlineStr">
        <is>
          <t>Mixed</t>
        </is>
      </c>
      <c r="O36" t="inlineStr">
        <is>
          <t>Team</t>
        </is>
      </c>
      <c r="P36" t="inlineStr"/>
      <c r="Q36" t="inlineStr"/>
    </row>
    <row r="37">
      <c r="A37" t="inlineStr">
        <is>
          <t>GAC</t>
        </is>
      </c>
      <c r="B37" t="inlineStr">
        <is>
          <t>3615958</t>
        </is>
      </c>
      <c r="C37" t="inlineStr">
        <is>
          <t>107</t>
        </is>
      </c>
      <c r="D37" t="inlineStr">
        <is>
          <t>validated</t>
        </is>
      </c>
      <c r="E37" t="b">
        <v>1</v>
      </c>
      <c r="F37">
        <f>IMAGE("https://chmeetings.blob.core.windows.net/846969/attachments/qPojkJbp4kmvCBQqd9r3Hw/09507491-ec10-4228-9164-6ed0669cc6b3.jpg")</f>
        <v/>
      </c>
      <c r="G37" t="inlineStr">
        <is>
          <t>Jamie</t>
        </is>
      </c>
      <c r="H37" t="inlineStr">
        <is>
          <t>Sauveur</t>
        </is>
      </c>
      <c r="I37" t="inlineStr">
        <is>
          <t>Male</t>
        </is>
      </c>
      <c r="J37" t="n">
        <v>29</v>
      </c>
      <c r="K37" t="inlineStr">
        <is>
          <t>(408) 605-7288</t>
        </is>
      </c>
      <c r="L37" t="inlineStr">
        <is>
          <t>jamieboy97@gmail.com</t>
        </is>
      </c>
      <c r="M37" t="inlineStr">
        <is>
          <t>Pickleball</t>
        </is>
      </c>
      <c r="N37" t="inlineStr">
        <is>
          <t>Mixed</t>
        </is>
      </c>
      <c r="O37" t="inlineStr">
        <is>
          <t>Doubles</t>
        </is>
      </c>
      <c r="P37" t="inlineStr"/>
      <c r="Q37" t="inlineStr">
        <is>
          <t>Vivian Tran</t>
        </is>
      </c>
    </row>
    <row r="38">
      <c r="A38" t="inlineStr">
        <is>
          <t>GAC</t>
        </is>
      </c>
      <c r="B38" t="inlineStr">
        <is>
          <t>3476612</t>
        </is>
      </c>
      <c r="C38" t="inlineStr">
        <is>
          <t>116</t>
        </is>
      </c>
      <c r="D38" t="inlineStr">
        <is>
          <t>validated</t>
        </is>
      </c>
      <c r="E38" t="b">
        <v>1</v>
      </c>
      <c r="F38">
        <f>IMAGE("https://chmeetings.blob.core.windows.net/846969/attachments/Yp0fusxU7UaOh8VIZqAdA/caa141b9-5524-474e-80b6-679f3fc1d845.jpg")</f>
        <v/>
      </c>
      <c r="G38" t="inlineStr">
        <is>
          <t>Vivian</t>
        </is>
      </c>
      <c r="H38" t="inlineStr">
        <is>
          <t>Tran</t>
        </is>
      </c>
      <c r="I38" t="inlineStr">
        <is>
          <t>Female</t>
        </is>
      </c>
      <c r="J38" t="n">
        <v>23</v>
      </c>
      <c r="K38" t="inlineStr">
        <is>
          <t>(916) 272-5979</t>
        </is>
      </c>
      <c r="L38" t="inlineStr">
        <is>
          <t>Viviantrvnn@gmail.com</t>
        </is>
      </c>
      <c r="M38" t="inlineStr">
        <is>
          <t>Pickleball</t>
        </is>
      </c>
      <c r="N38" t="inlineStr">
        <is>
          <t>Mixed</t>
        </is>
      </c>
      <c r="O38" t="inlineStr">
        <is>
          <t>Doubles</t>
        </is>
      </c>
      <c r="P38" t="inlineStr"/>
      <c r="Q38" t="inlineStr">
        <is>
          <t>Jamie S</t>
        </is>
      </c>
    </row>
    <row r="39">
      <c r="A39" t="inlineStr">
        <is>
          <t>GAC</t>
        </is>
      </c>
      <c r="B39" t="inlineStr">
        <is>
          <t>3610920</t>
        </is>
      </c>
      <c r="C39" t="inlineStr">
        <is>
          <t>45</t>
        </is>
      </c>
      <c r="D39" t="inlineStr">
        <is>
          <t>validated</t>
        </is>
      </c>
      <c r="E39" t="b">
        <v>1</v>
      </c>
      <c r="F39">
        <f>IMAGE("https://chmeetings.blob.core.windows.net/846969/attachments/OyWbdJyT5EixPoP3spOyLg/80becd09-3898-4d0b-a5a3-71310f9d20d4.jpg")</f>
        <v/>
      </c>
      <c r="G39" t="inlineStr">
        <is>
          <t>Aly</t>
        </is>
      </c>
      <c r="H39" t="inlineStr">
        <is>
          <t>Vo</t>
        </is>
      </c>
      <c r="I39" t="inlineStr">
        <is>
          <t>Female</t>
        </is>
      </c>
      <c r="J39" t="n">
        <v>18</v>
      </c>
      <c r="K39" t="inlineStr">
        <is>
          <t>(341) 227-8343</t>
        </is>
      </c>
      <c r="L39" t="inlineStr">
        <is>
          <t>Aly.vo29@gmail.com</t>
        </is>
      </c>
      <c r="M39" t="inlineStr">
        <is>
          <t>Pickleball</t>
        </is>
      </c>
      <c r="N39" t="inlineStr">
        <is>
          <t>Mixed</t>
        </is>
      </c>
      <c r="O39" t="inlineStr">
        <is>
          <t>Doubles</t>
        </is>
      </c>
      <c r="P39" t="inlineStr"/>
      <c r="Q39" t="inlineStr">
        <is>
          <t>King Vo</t>
        </is>
      </c>
    </row>
    <row r="40">
      <c r="A40" t="inlineStr">
        <is>
          <t>GAC</t>
        </is>
      </c>
      <c r="B40" t="inlineStr">
        <is>
          <t>3606104</t>
        </is>
      </c>
      <c r="C40" t="inlineStr">
        <is>
          <t>50</t>
        </is>
      </c>
      <c r="D40" t="inlineStr">
        <is>
          <t>validated</t>
        </is>
      </c>
      <c r="E40" t="b">
        <v>1</v>
      </c>
      <c r="F40">
        <f>IMAGE("https://chmeetings.blob.core.windows.net/846969/attachments/KN60GvBKJ0qRFQGEtYPMA/f0b82a94-8de5-49f2-bf74-75300a92c050.jpg")</f>
        <v/>
      </c>
      <c r="G40" t="inlineStr">
        <is>
          <t>Eric</t>
        </is>
      </c>
      <c r="H40" t="inlineStr">
        <is>
          <t>Nguyen</t>
        </is>
      </c>
      <c r="I40" t="inlineStr">
        <is>
          <t>Male</t>
        </is>
      </c>
      <c r="J40" t="n">
        <v>42</v>
      </c>
      <c r="K40" t="inlineStr">
        <is>
          <t>(562) 728-3782</t>
        </is>
      </c>
      <c r="L40" t="inlineStr">
        <is>
          <t>eric.t.nguyen@gmail.com</t>
        </is>
      </c>
      <c r="M40" t="inlineStr">
        <is>
          <t>Pickleball 35+</t>
        </is>
      </c>
      <c r="N40" t="inlineStr">
        <is>
          <t>Mixed</t>
        </is>
      </c>
      <c r="O40" t="inlineStr">
        <is>
          <t>Doubles</t>
        </is>
      </c>
      <c r="P40" t="inlineStr"/>
      <c r="Q40" t="inlineStr">
        <is>
          <t>Ruthi Nguyen</t>
        </is>
      </c>
    </row>
    <row r="41">
      <c r="A41" t="inlineStr">
        <is>
          <t>GAC</t>
        </is>
      </c>
      <c r="B41" t="inlineStr">
        <is>
          <t>4361952</t>
        </is>
      </c>
      <c r="C41" t="inlineStr">
        <is>
          <t>57</t>
        </is>
      </c>
      <c r="D41" t="inlineStr">
        <is>
          <t>pending</t>
        </is>
      </c>
      <c r="E41" t="b">
        <v>1</v>
      </c>
      <c r="F41">
        <f>IMAGE("https://chmeetings.blob.core.windows.net/846969/attachments/Hjxi9RYULUCBzV5lFGI92Q/b0ae99dc-29e8-4902-8dad-c2ffe54bf1b2.jpg")</f>
        <v/>
      </c>
      <c r="G41" t="inlineStr">
        <is>
          <t>Michael</t>
        </is>
      </c>
      <c r="H41" t="inlineStr">
        <is>
          <t>Cisneros</t>
        </is>
      </c>
      <c r="I41" t="inlineStr">
        <is>
          <t>Male</t>
        </is>
      </c>
      <c r="J41" t="n">
        <v>16</v>
      </c>
      <c r="K41" t="inlineStr">
        <is>
          <t>(925) 826-9988</t>
        </is>
      </c>
      <c r="L41" t="inlineStr">
        <is>
          <t>michael.cisneros03@icloud.com</t>
        </is>
      </c>
      <c r="M41" t="inlineStr">
        <is>
          <t>Scripture Memorization</t>
        </is>
      </c>
      <c r="N41" t="inlineStr">
        <is>
          <t>Mixed</t>
        </is>
      </c>
      <c r="O41" t="inlineStr">
        <is>
          <t>Team</t>
        </is>
      </c>
      <c r="P41" t="inlineStr"/>
      <c r="Q41" t="inlineStr"/>
    </row>
    <row r="42">
      <c r="A42" t="inlineStr">
        <is>
          <t>GAC</t>
        </is>
      </c>
      <c r="B42" t="inlineStr">
        <is>
          <t>3636819</t>
        </is>
      </c>
      <c r="C42" t="inlineStr">
        <is>
          <t>53</t>
        </is>
      </c>
      <c r="D42" t="inlineStr">
        <is>
          <t>validated</t>
        </is>
      </c>
      <c r="E42" t="b">
        <v>1</v>
      </c>
      <c r="F42">
        <f>IMAGE("https://chmeetings.blob.core.windows.net/846969/attachments/2EMW7UJtRk6APQ4qdfqDcA/cae1b6ba-c323-4927-8239-f131801812c4.jpg")</f>
        <v/>
      </c>
      <c r="G42" t="inlineStr">
        <is>
          <t>Jeremy</t>
        </is>
      </c>
      <c r="H42" t="inlineStr">
        <is>
          <t>OConnor</t>
        </is>
      </c>
      <c r="I42" t="inlineStr">
        <is>
          <t>Male</t>
        </is>
      </c>
      <c r="J42" t="n">
        <v>28</v>
      </c>
      <c r="K42" t="inlineStr">
        <is>
          <t>(408) 728-2130</t>
        </is>
      </c>
      <c r="L42" t="inlineStr">
        <is>
          <t>jeremyoc241@gmail.com</t>
        </is>
      </c>
      <c r="M42" t="inlineStr">
        <is>
          <t>Scripture Memorization</t>
        </is>
      </c>
      <c r="N42" t="inlineStr">
        <is>
          <t>Mixed</t>
        </is>
      </c>
      <c r="O42" t="inlineStr">
        <is>
          <t>Team</t>
        </is>
      </c>
      <c r="P42" t="inlineStr"/>
      <c r="Q42" t="inlineStr"/>
    </row>
    <row r="43">
      <c r="A43" t="inlineStr">
        <is>
          <t>GAC</t>
        </is>
      </c>
      <c r="B43" t="inlineStr">
        <is>
          <t>4363695</t>
        </is>
      </c>
      <c r="C43" t="inlineStr">
        <is>
          <t>112</t>
        </is>
      </c>
      <c r="D43" t="inlineStr">
        <is>
          <t>validated</t>
        </is>
      </c>
      <c r="E43" t="b">
        <v>1</v>
      </c>
      <c r="F43">
        <f>IMAGE("https://chmeetings.blob.core.windows.net/846969/attachments/BINhgC34TECifThOttOVlQ/04fe1f84-53cd-41d0-a989-73440f1470ff.jpg")</f>
        <v/>
      </c>
      <c r="G43" t="inlineStr">
        <is>
          <t>Thinh</t>
        </is>
      </c>
      <c r="H43" t="inlineStr">
        <is>
          <t>Nguyen</t>
        </is>
      </c>
      <c r="I43" t="inlineStr">
        <is>
          <t>Male</t>
        </is>
      </c>
      <c r="J43" t="n">
        <v>24</v>
      </c>
      <c r="K43" t="inlineStr">
        <is>
          <t>(206) 581-7487</t>
        </is>
      </c>
      <c r="L43" t="inlineStr">
        <is>
          <t>mthinhngn@gmail.com</t>
        </is>
      </c>
      <c r="M43" t="inlineStr">
        <is>
          <t>Soccer - Coed Exhibition</t>
        </is>
      </c>
      <c r="N43" t="inlineStr">
        <is>
          <t>Mixed</t>
        </is>
      </c>
      <c r="O43" t="inlineStr">
        <is>
          <t>Team</t>
        </is>
      </c>
      <c r="P43" t="inlineStr"/>
      <c r="Q43" t="inlineStr"/>
    </row>
    <row r="44">
      <c r="A44" t="inlineStr">
        <is>
          <t>GAC</t>
        </is>
      </c>
      <c r="B44" t="inlineStr">
        <is>
          <t>3615948</t>
        </is>
      </c>
      <c r="C44" t="inlineStr">
        <is>
          <t>46</t>
        </is>
      </c>
      <c r="D44" t="inlineStr">
        <is>
          <t>validated</t>
        </is>
      </c>
      <c r="E44" t="b">
        <v>1</v>
      </c>
      <c r="F44">
        <f>IMAGE("https://chmeetings.blob.core.windows.net/846969/attachments/jl2i4eVeYECLBJcTyk7tA/55b9f204-7df3-4ccf-ba35-08d5400d946c.jpg")</f>
        <v/>
      </c>
      <c r="G44" t="inlineStr">
        <is>
          <t>Anthony</t>
        </is>
      </c>
      <c r="H44" t="inlineStr">
        <is>
          <t>Ta</t>
        </is>
      </c>
      <c r="I44" t="inlineStr">
        <is>
          <t>Male</t>
        </is>
      </c>
      <c r="J44" t="n">
        <v>25</v>
      </c>
      <c r="K44" t="inlineStr">
        <is>
          <t>502</t>
        </is>
      </c>
      <c r="L44" t="inlineStr">
        <is>
          <t>anthonyta502@gmail.com</t>
        </is>
      </c>
      <c r="M44" t="inlineStr">
        <is>
          <t>Soccer - Coed Exhibition</t>
        </is>
      </c>
      <c r="N44" t="inlineStr">
        <is>
          <t>Mixed</t>
        </is>
      </c>
      <c r="O44" t="inlineStr">
        <is>
          <t>Team</t>
        </is>
      </c>
      <c r="P44" t="inlineStr"/>
      <c r="Q44" t="inlineStr"/>
    </row>
    <row r="45">
      <c r="A45" t="inlineStr">
        <is>
          <t>GAC</t>
        </is>
      </c>
      <c r="B45" t="inlineStr">
        <is>
          <t>3610920</t>
        </is>
      </c>
      <c r="C45" t="inlineStr">
        <is>
          <t>45</t>
        </is>
      </c>
      <c r="D45" t="inlineStr">
        <is>
          <t>validated</t>
        </is>
      </c>
      <c r="E45" t="b">
        <v>1</v>
      </c>
      <c r="F45">
        <f>IMAGE("https://chmeetings.blob.core.windows.net/846969/attachments/OyWbdJyT5EixPoP3spOyLg/80becd09-3898-4d0b-a5a3-71310f9d20d4.jpg")</f>
        <v/>
      </c>
      <c r="G45" t="inlineStr">
        <is>
          <t>Aly</t>
        </is>
      </c>
      <c r="H45" t="inlineStr">
        <is>
          <t>Vo</t>
        </is>
      </c>
      <c r="I45" t="inlineStr">
        <is>
          <t>Female</t>
        </is>
      </c>
      <c r="J45" t="n">
        <v>18</v>
      </c>
      <c r="K45" t="inlineStr">
        <is>
          <t>(341) 227-8343</t>
        </is>
      </c>
      <c r="L45" t="inlineStr">
        <is>
          <t>Aly.vo29@gmail.com</t>
        </is>
      </c>
      <c r="M45" t="inlineStr">
        <is>
          <t>Soccer - Coed Exhibition</t>
        </is>
      </c>
      <c r="N45" t="inlineStr">
        <is>
          <t>Mixed</t>
        </is>
      </c>
      <c r="O45" t="inlineStr">
        <is>
          <t>Team</t>
        </is>
      </c>
      <c r="P45" t="inlineStr"/>
      <c r="Q45" t="inlineStr"/>
    </row>
    <row r="46">
      <c r="A46" t="inlineStr">
        <is>
          <t>GAC</t>
        </is>
      </c>
      <c r="B46" t="inlineStr">
        <is>
          <t>3610917</t>
        </is>
      </c>
      <c r="C46" t="inlineStr">
        <is>
          <t>56</t>
        </is>
      </c>
      <c r="D46" t="inlineStr">
        <is>
          <t>validated</t>
        </is>
      </c>
      <c r="E46" t="b">
        <v>1</v>
      </c>
      <c r="F46">
        <f>IMAGE("https://chmeetings.blob.core.windows.net/846969/attachments/dbPn6hwRbUmuEMeKWTNWxg/56cb0979-8b71-4c8e-9f5b-db9d018e400f.jpg")</f>
        <v/>
      </c>
      <c r="G46" t="inlineStr">
        <is>
          <t>Kayla</t>
        </is>
      </c>
      <c r="H46" t="inlineStr">
        <is>
          <t>Vo</t>
        </is>
      </c>
      <c r="I46" t="inlineStr">
        <is>
          <t>Female</t>
        </is>
      </c>
      <c r="J46" t="n">
        <v>19</v>
      </c>
      <c r="K46" t="inlineStr">
        <is>
          <t>(510) 774-2614</t>
        </is>
      </c>
      <c r="L46" t="inlineStr">
        <is>
          <t>kaimyvo@gmail.com</t>
        </is>
      </c>
      <c r="M46" t="inlineStr">
        <is>
          <t>Soccer - Coed Exhibition</t>
        </is>
      </c>
      <c r="N46" t="inlineStr">
        <is>
          <t>Mixed</t>
        </is>
      </c>
      <c r="O46" t="inlineStr">
        <is>
          <t>Team</t>
        </is>
      </c>
      <c r="P46" t="inlineStr"/>
      <c r="Q46" t="inlineStr"/>
    </row>
    <row r="47">
      <c r="A47" t="inlineStr">
        <is>
          <t>GAC</t>
        </is>
      </c>
      <c r="B47" t="inlineStr">
        <is>
          <t>3610915</t>
        </is>
      </c>
      <c r="C47" t="inlineStr">
        <is>
          <t>55</t>
        </is>
      </c>
      <c r="D47" t="inlineStr">
        <is>
          <t>validated</t>
        </is>
      </c>
      <c r="E47" t="b">
        <v>1</v>
      </c>
      <c r="F47">
        <f>IMAGE("https://chmeetings.blob.core.windows.net/846969/attachments/4FXwXlnpfkCUWrqQHd3hyA/e34c034d-999f-4910-8e93-b20c75a2480d.jpg")</f>
        <v/>
      </c>
      <c r="G47" t="inlineStr">
        <is>
          <t>Joshua</t>
        </is>
      </c>
      <c r="H47" t="inlineStr">
        <is>
          <t>Dang</t>
        </is>
      </c>
      <c r="I47" t="inlineStr">
        <is>
          <t>Male</t>
        </is>
      </c>
      <c r="J47" t="n">
        <v>20</v>
      </c>
      <c r="K47" t="inlineStr">
        <is>
          <t>(669) 207-9451</t>
        </is>
      </c>
      <c r="L47" t="inlineStr">
        <is>
          <t>joshdang336@gmail.com</t>
        </is>
      </c>
      <c r="M47" t="inlineStr">
        <is>
          <t>Table Tennis</t>
        </is>
      </c>
      <c r="N47" t="inlineStr">
        <is>
          <t>Men</t>
        </is>
      </c>
      <c r="O47" t="inlineStr">
        <is>
          <t>Doubles</t>
        </is>
      </c>
      <c r="P47" t="inlineStr"/>
      <c r="Q47" t="inlineStr">
        <is>
          <t>Noah Vo</t>
        </is>
      </c>
    </row>
    <row r="48">
      <c r="A48" t="inlineStr">
        <is>
          <t>GAC</t>
        </is>
      </c>
      <c r="B48" t="inlineStr">
        <is>
          <t>3610915</t>
        </is>
      </c>
      <c r="C48" t="inlineStr">
        <is>
          <t>55</t>
        </is>
      </c>
      <c r="D48" t="inlineStr">
        <is>
          <t>validated</t>
        </is>
      </c>
      <c r="E48" t="b">
        <v>1</v>
      </c>
      <c r="F48">
        <f>IMAGE("https://chmeetings.blob.core.windows.net/846969/attachments/4FXwXlnpfkCUWrqQHd3hyA/e34c034d-999f-4910-8e93-b20c75a2480d.jpg")</f>
        <v/>
      </c>
      <c r="G48" t="inlineStr">
        <is>
          <t>Joshua</t>
        </is>
      </c>
      <c r="H48" t="inlineStr">
        <is>
          <t>Dang</t>
        </is>
      </c>
      <c r="I48" t="inlineStr">
        <is>
          <t>Male</t>
        </is>
      </c>
      <c r="J48" t="n">
        <v>20</v>
      </c>
      <c r="K48" t="inlineStr">
        <is>
          <t>(669) 207-9451</t>
        </is>
      </c>
      <c r="L48" t="inlineStr">
        <is>
          <t>joshdang336@gmail.com</t>
        </is>
      </c>
      <c r="M48" t="inlineStr">
        <is>
          <t>Table Tennis</t>
        </is>
      </c>
      <c r="N48" t="inlineStr">
        <is>
          <t>Men</t>
        </is>
      </c>
      <c r="O48" t="inlineStr">
        <is>
          <t>Singles</t>
        </is>
      </c>
      <c r="P48" t="inlineStr"/>
      <c r="Q48" t="inlineStr"/>
    </row>
    <row r="49">
      <c r="A49" t="inlineStr">
        <is>
          <t>GAC</t>
        </is>
      </c>
      <c r="B49" t="inlineStr">
        <is>
          <t>3610918</t>
        </is>
      </c>
      <c r="C49" t="inlineStr">
        <is>
          <t>108</t>
        </is>
      </c>
      <c r="D49" t="inlineStr">
        <is>
          <t>pending</t>
        </is>
      </c>
      <c r="E49" t="b">
        <v>1</v>
      </c>
      <c r="F49">
        <f>IMAGE("https://chmeetings.blob.core.windows.net/846969/attachments/EGfLYzrf4UuvbrSrl3fCuQ/a15519c8-561a-4090-ae77-e8e26bc544a0.jpg")</f>
        <v/>
      </c>
      <c r="G49" t="inlineStr">
        <is>
          <t>Justtin</t>
        </is>
      </c>
      <c r="H49" t="inlineStr">
        <is>
          <t>Pham</t>
        </is>
      </c>
      <c r="I49" t="inlineStr">
        <is>
          <t>Male</t>
        </is>
      </c>
      <c r="J49" t="n">
        <v>15</v>
      </c>
      <c r="K49" t="inlineStr">
        <is>
          <t>(925) 406-9096</t>
        </is>
      </c>
      <c r="L49" t="inlineStr">
        <is>
          <t>justjusttinpham@gmail.com</t>
        </is>
      </c>
      <c r="M49" t="inlineStr">
        <is>
          <t>Table Tennis</t>
        </is>
      </c>
      <c r="N49" t="inlineStr">
        <is>
          <t>Men</t>
        </is>
      </c>
      <c r="O49" t="inlineStr">
        <is>
          <t>Doubles</t>
        </is>
      </c>
      <c r="P49" t="inlineStr"/>
      <c r="Q49" t="inlineStr">
        <is>
          <t>Phillip Tran</t>
        </is>
      </c>
    </row>
    <row r="50">
      <c r="A50" t="inlineStr">
        <is>
          <t>GAC</t>
        </is>
      </c>
      <c r="B50" t="inlineStr">
        <is>
          <t>3610918</t>
        </is>
      </c>
      <c r="C50" t="inlineStr">
        <is>
          <t>108</t>
        </is>
      </c>
      <c r="D50" t="inlineStr">
        <is>
          <t>pending</t>
        </is>
      </c>
      <c r="E50" t="b">
        <v>1</v>
      </c>
      <c r="F50">
        <f>IMAGE("https://chmeetings.blob.core.windows.net/846969/attachments/EGfLYzrf4UuvbrSrl3fCuQ/a15519c8-561a-4090-ae77-e8e26bc544a0.jpg")</f>
        <v/>
      </c>
      <c r="G50" t="inlineStr">
        <is>
          <t>Justtin</t>
        </is>
      </c>
      <c r="H50" t="inlineStr">
        <is>
          <t>Pham</t>
        </is>
      </c>
      <c r="I50" t="inlineStr">
        <is>
          <t>Male</t>
        </is>
      </c>
      <c r="J50" t="n">
        <v>15</v>
      </c>
      <c r="K50" t="inlineStr">
        <is>
          <t>(925) 406-9096</t>
        </is>
      </c>
      <c r="L50" t="inlineStr">
        <is>
          <t>justjusttinpham@gmail.com</t>
        </is>
      </c>
      <c r="M50" t="inlineStr">
        <is>
          <t>Table Tennis</t>
        </is>
      </c>
      <c r="N50" t="inlineStr">
        <is>
          <t>Men</t>
        </is>
      </c>
      <c r="O50" t="inlineStr">
        <is>
          <t>Singles</t>
        </is>
      </c>
      <c r="P50" t="inlineStr"/>
      <c r="Q50" t="inlineStr"/>
    </row>
    <row r="51">
      <c r="A51" t="inlineStr">
        <is>
          <t>GAC</t>
        </is>
      </c>
      <c r="B51" t="inlineStr">
        <is>
          <t>3618804</t>
        </is>
      </c>
      <c r="C51" t="inlineStr">
        <is>
          <t>111</t>
        </is>
      </c>
      <c r="D51" t="inlineStr">
        <is>
          <t>pending</t>
        </is>
      </c>
      <c r="E51" t="b">
        <v>1</v>
      </c>
      <c r="F51">
        <f>IMAGE("https://chmeetings.blob.core.windows.net/846969/attachments/fa57rd7DEUi3wuhMi4fndw/4e49d748-6cc9-4bf5-a217-81f093199461.jpg")</f>
        <v/>
      </c>
      <c r="G51" t="inlineStr">
        <is>
          <t>Phillip</t>
        </is>
      </c>
      <c r="H51" t="inlineStr">
        <is>
          <t>Tran</t>
        </is>
      </c>
      <c r="I51" t="inlineStr">
        <is>
          <t>Male</t>
        </is>
      </c>
      <c r="J51" t="n">
        <v>15</v>
      </c>
      <c r="K51" t="inlineStr">
        <is>
          <t>(408) 616-9839</t>
        </is>
      </c>
      <c r="L51" t="inlineStr">
        <is>
          <t>phillipissupercool538@gmail.com</t>
        </is>
      </c>
      <c r="M51" t="inlineStr">
        <is>
          <t>Table Tennis</t>
        </is>
      </c>
      <c r="N51" t="inlineStr">
        <is>
          <t>Men</t>
        </is>
      </c>
      <c r="O51" t="inlineStr">
        <is>
          <t>Doubles</t>
        </is>
      </c>
      <c r="P51" t="inlineStr"/>
      <c r="Q51" t="inlineStr">
        <is>
          <t>Justtin Pham</t>
        </is>
      </c>
    </row>
    <row r="52">
      <c r="A52" t="inlineStr">
        <is>
          <t>GAC</t>
        </is>
      </c>
      <c r="B52" t="inlineStr">
        <is>
          <t>3618804</t>
        </is>
      </c>
      <c r="C52" t="inlineStr">
        <is>
          <t>111</t>
        </is>
      </c>
      <c r="D52" t="inlineStr">
        <is>
          <t>pending</t>
        </is>
      </c>
      <c r="E52" t="b">
        <v>1</v>
      </c>
      <c r="F52">
        <f>IMAGE("https://chmeetings.blob.core.windows.net/846969/attachments/fa57rd7DEUi3wuhMi4fndw/4e49d748-6cc9-4bf5-a217-81f093199461.jpg")</f>
        <v/>
      </c>
      <c r="G52" t="inlineStr">
        <is>
          <t>Phillip</t>
        </is>
      </c>
      <c r="H52" t="inlineStr">
        <is>
          <t>Tran</t>
        </is>
      </c>
      <c r="I52" t="inlineStr">
        <is>
          <t>Male</t>
        </is>
      </c>
      <c r="J52" t="n">
        <v>15</v>
      </c>
      <c r="K52" t="inlineStr">
        <is>
          <t>(408) 616-9839</t>
        </is>
      </c>
      <c r="L52" t="inlineStr">
        <is>
          <t>phillipissupercool538@gmail.com</t>
        </is>
      </c>
      <c r="M52" t="inlineStr">
        <is>
          <t>Table Tennis</t>
        </is>
      </c>
      <c r="N52" t="inlineStr">
        <is>
          <t>Men</t>
        </is>
      </c>
      <c r="O52" t="inlineStr">
        <is>
          <t>Singles</t>
        </is>
      </c>
      <c r="P52" t="inlineStr"/>
      <c r="Q52" t="inlineStr"/>
    </row>
    <row r="53">
      <c r="A53" t="inlineStr">
        <is>
          <t>GAC</t>
        </is>
      </c>
      <c r="B53" t="inlineStr">
        <is>
          <t>3610919</t>
        </is>
      </c>
      <c r="C53" t="inlineStr">
        <is>
          <t>60</t>
        </is>
      </c>
      <c r="D53" t="inlineStr">
        <is>
          <t>pending</t>
        </is>
      </c>
      <c r="E53" t="b">
        <v>1</v>
      </c>
      <c r="F53">
        <f>IMAGE("https://chmeetings.blob.core.windows.net/846969/attachments/5eKHOYUtGk6OW2Yv9KYF7Q/38b6a312-42c2-45d1-bf6e-ff86f4ceeca3.jpg")</f>
        <v/>
      </c>
      <c r="G53" t="inlineStr">
        <is>
          <t>Noah</t>
        </is>
      </c>
      <c r="H53" t="inlineStr">
        <is>
          <t>Vo</t>
        </is>
      </c>
      <c r="I53" t="inlineStr">
        <is>
          <t>Male</t>
        </is>
      </c>
      <c r="J53" t="n">
        <v>16</v>
      </c>
      <c r="K53" t="inlineStr">
        <is>
          <t>(510) 605-8983</t>
        </is>
      </c>
      <c r="L53" t="inlineStr">
        <is>
          <t>noahhappysmiles@gmail.com</t>
        </is>
      </c>
      <c r="M53" t="inlineStr">
        <is>
          <t>Table Tennis</t>
        </is>
      </c>
      <c r="N53" t="inlineStr">
        <is>
          <t>Men</t>
        </is>
      </c>
      <c r="O53" t="inlineStr">
        <is>
          <t>Doubles</t>
        </is>
      </c>
      <c r="P53" t="inlineStr"/>
      <c r="Q53" t="inlineStr">
        <is>
          <t>Josh Deng</t>
        </is>
      </c>
    </row>
    <row r="54">
      <c r="A54" t="inlineStr">
        <is>
          <t>GAC</t>
        </is>
      </c>
      <c r="B54" t="inlineStr">
        <is>
          <t>4363702</t>
        </is>
      </c>
      <c r="C54" t="inlineStr">
        <is>
          <t>114</t>
        </is>
      </c>
      <c r="D54" t="inlineStr">
        <is>
          <t>validated</t>
        </is>
      </c>
      <c r="E54" t="b">
        <v>1</v>
      </c>
      <c r="F54">
        <f>IMAGE("https://chmeetings.blob.core.windows.net/846969/attachments/ROHoX9AhkqcJQzXnKNrQ/9b3a9902-9865-411f-8560-68da85fa6eaf.jpg")</f>
        <v/>
      </c>
      <c r="G54" t="inlineStr">
        <is>
          <t>Timothy</t>
        </is>
      </c>
      <c r="H54" t="inlineStr">
        <is>
          <t>Tran</t>
        </is>
      </c>
      <c r="I54" t="inlineStr">
        <is>
          <t>Male</t>
        </is>
      </c>
      <c r="J54" t="n">
        <v>56</v>
      </c>
      <c r="K54" t="inlineStr">
        <is>
          <t>(408) 568-7264</t>
        </is>
      </c>
      <c r="L54" t="inlineStr">
        <is>
          <t>timltran2003@yahoo.com</t>
        </is>
      </c>
      <c r="M54" t="inlineStr">
        <is>
          <t>Table Tennis 35+</t>
        </is>
      </c>
      <c r="N54" t="inlineStr">
        <is>
          <t>Men</t>
        </is>
      </c>
      <c r="O54" t="inlineStr">
        <is>
          <t>Doubles</t>
        </is>
      </c>
      <c r="P54" t="inlineStr"/>
      <c r="Q54" t="inlineStr">
        <is>
          <t>Dung Pham</t>
        </is>
      </c>
    </row>
    <row r="55">
      <c r="A55" t="inlineStr">
        <is>
          <t>GAC</t>
        </is>
      </c>
      <c r="B55" t="inlineStr">
        <is>
          <t>4361952</t>
        </is>
      </c>
      <c r="C55" t="inlineStr">
        <is>
          <t>57</t>
        </is>
      </c>
      <c r="D55" t="inlineStr">
        <is>
          <t>pending</t>
        </is>
      </c>
      <c r="E55" t="b">
        <v>1</v>
      </c>
      <c r="F55">
        <f>IMAGE("https://chmeetings.blob.core.windows.net/846969/attachments/Hjxi9RYULUCBzV5lFGI92Q/b0ae99dc-29e8-4902-8dad-c2ffe54bf1b2.jpg")</f>
        <v/>
      </c>
      <c r="G55" t="inlineStr">
        <is>
          <t>Michael</t>
        </is>
      </c>
      <c r="H55" t="inlineStr">
        <is>
          <t>Cisneros</t>
        </is>
      </c>
      <c r="I55" t="inlineStr">
        <is>
          <t>Male</t>
        </is>
      </c>
      <c r="J55" t="n">
        <v>16</v>
      </c>
      <c r="K55" t="inlineStr">
        <is>
          <t>(925) 826-9988</t>
        </is>
      </c>
      <c r="L55" t="inlineStr">
        <is>
          <t>michael.cisneros03@icloud.com</t>
        </is>
      </c>
      <c r="M55" t="inlineStr">
        <is>
          <t>Track &amp; Field</t>
        </is>
      </c>
      <c r="N55" t="inlineStr">
        <is>
          <t>Mixed</t>
        </is>
      </c>
      <c r="O55" t="inlineStr">
        <is>
          <t>Team</t>
        </is>
      </c>
      <c r="P55" t="inlineStr"/>
      <c r="Q55" t="inlineStr"/>
    </row>
    <row r="56">
      <c r="A56" t="inlineStr">
        <is>
          <t>GAC</t>
        </is>
      </c>
      <c r="B56" t="inlineStr">
        <is>
          <t>3636819</t>
        </is>
      </c>
      <c r="C56" t="inlineStr">
        <is>
          <t>53</t>
        </is>
      </c>
      <c r="D56" t="inlineStr">
        <is>
          <t>validated</t>
        </is>
      </c>
      <c r="E56" t="b">
        <v>1</v>
      </c>
      <c r="F56">
        <f>IMAGE("https://chmeetings.blob.core.windows.net/846969/attachments/2EMW7UJtRk6APQ4qdfqDcA/cae1b6ba-c323-4927-8239-f131801812c4.jpg")</f>
        <v/>
      </c>
      <c r="G56" t="inlineStr">
        <is>
          <t>Jeremy</t>
        </is>
      </c>
      <c r="H56" t="inlineStr">
        <is>
          <t>OConnor</t>
        </is>
      </c>
      <c r="I56" t="inlineStr">
        <is>
          <t>Male</t>
        </is>
      </c>
      <c r="J56" t="n">
        <v>28</v>
      </c>
      <c r="K56" t="inlineStr">
        <is>
          <t>(408) 728-2130</t>
        </is>
      </c>
      <c r="L56" t="inlineStr">
        <is>
          <t>jeremyoc241@gmail.com</t>
        </is>
      </c>
      <c r="M56" t="inlineStr">
        <is>
          <t>Track &amp; Field</t>
        </is>
      </c>
      <c r="N56" t="inlineStr">
        <is>
          <t>Mixed</t>
        </is>
      </c>
      <c r="O56" t="inlineStr">
        <is>
          <t>Team</t>
        </is>
      </c>
      <c r="P56" t="inlineStr"/>
      <c r="Q56" t="inlineStr"/>
    </row>
    <row r="57">
      <c r="A57" t="inlineStr">
        <is>
          <t>GAC</t>
        </is>
      </c>
      <c r="B57" t="inlineStr">
        <is>
          <t>4363701</t>
        </is>
      </c>
      <c r="C57" t="inlineStr">
        <is>
          <t>105</t>
        </is>
      </c>
      <c r="D57" t="inlineStr">
        <is>
          <t>pending</t>
        </is>
      </c>
      <c r="E57" t="b">
        <v>1</v>
      </c>
      <c r="F57">
        <f>IMAGE("https://chmeetings.blob.core.windows.net/846969/attachments/PE42ANWDEO4itEGSLic9A/c8d67430-bdd3-47dd-a724-f577a5d5e3e7.jpg")</f>
        <v/>
      </c>
      <c r="G57" t="inlineStr">
        <is>
          <t>Caitlin</t>
        </is>
      </c>
      <c r="H57" t="inlineStr">
        <is>
          <t>Tran</t>
        </is>
      </c>
      <c r="I57" t="inlineStr">
        <is>
          <t>Female</t>
        </is>
      </c>
      <c r="J57" t="n">
        <v>13</v>
      </c>
      <c r="K57" t="inlineStr">
        <is>
          <t>(408) 568-7264</t>
        </is>
      </c>
      <c r="L57" t="inlineStr">
        <is>
          <t>timltran2003@yahoo.com</t>
        </is>
      </c>
      <c r="M57" t="inlineStr">
        <is>
          <t>Track &amp; Field</t>
        </is>
      </c>
      <c r="N57" t="inlineStr">
        <is>
          <t>Mixed</t>
        </is>
      </c>
      <c r="O57" t="inlineStr">
        <is>
          <t>Team</t>
        </is>
      </c>
      <c r="P57" t="inlineStr"/>
      <c r="Q57" t="inlineStr"/>
    </row>
    <row r="58">
      <c r="A58" t="inlineStr">
        <is>
          <t>GAC</t>
        </is>
      </c>
      <c r="B58" t="inlineStr">
        <is>
          <t>3618804</t>
        </is>
      </c>
      <c r="C58" t="inlineStr">
        <is>
          <t>111</t>
        </is>
      </c>
      <c r="D58" t="inlineStr">
        <is>
          <t>pending</t>
        </is>
      </c>
      <c r="E58" t="b">
        <v>1</v>
      </c>
      <c r="F58">
        <f>IMAGE("https://chmeetings.blob.core.windows.net/846969/attachments/fa57rd7DEUi3wuhMi4fndw/4e49d748-6cc9-4bf5-a217-81f093199461.jpg")</f>
        <v/>
      </c>
      <c r="G58" t="inlineStr">
        <is>
          <t>Phillip</t>
        </is>
      </c>
      <c r="H58" t="inlineStr">
        <is>
          <t>Tran</t>
        </is>
      </c>
      <c r="I58" t="inlineStr">
        <is>
          <t>Male</t>
        </is>
      </c>
      <c r="J58" t="n">
        <v>15</v>
      </c>
      <c r="K58" t="inlineStr">
        <is>
          <t>(408) 616-9839</t>
        </is>
      </c>
      <c r="L58" t="inlineStr">
        <is>
          <t>phillipissupercool538@gmail.com</t>
        </is>
      </c>
      <c r="M58" t="inlineStr">
        <is>
          <t>Track &amp; Field</t>
        </is>
      </c>
      <c r="N58" t="inlineStr">
        <is>
          <t>Mixed</t>
        </is>
      </c>
      <c r="O58" t="inlineStr">
        <is>
          <t>Team</t>
        </is>
      </c>
      <c r="P58" t="inlineStr"/>
      <c r="Q58" t="inlineStr"/>
    </row>
    <row r="59">
      <c r="A59" t="inlineStr">
        <is>
          <t>GAC</t>
        </is>
      </c>
      <c r="B59" t="inlineStr">
        <is>
          <t>3618803</t>
        </is>
      </c>
      <c r="C59" t="inlineStr">
        <is>
          <t>47</t>
        </is>
      </c>
      <c r="D59" t="inlineStr">
        <is>
          <t>validated</t>
        </is>
      </c>
      <c r="E59" t="b">
        <v>1</v>
      </c>
      <c r="F59">
        <f>IMAGE("https://chmeetings.blob.core.windows.net/846969/attachments/8RaR3P2EW0W4gXH4RYhbTA/5ceea1d8-d408-4951-80f1-990d0318e7f1.jpg")</f>
        <v/>
      </c>
      <c r="G59" t="inlineStr">
        <is>
          <t>Brendan</t>
        </is>
      </c>
      <c r="H59" t="inlineStr">
        <is>
          <t>Chau</t>
        </is>
      </c>
      <c r="I59" t="inlineStr">
        <is>
          <t>Male</t>
        </is>
      </c>
      <c r="J59" t="n">
        <v>28</v>
      </c>
      <c r="K59" t="inlineStr">
        <is>
          <t>(408) 781-6867</t>
        </is>
      </c>
      <c r="L59" t="inlineStr">
        <is>
          <t>bvanchau35@gmail.com</t>
        </is>
      </c>
      <c r="M59" t="inlineStr">
        <is>
          <t>Tug-of-war</t>
        </is>
      </c>
      <c r="N59" t="inlineStr">
        <is>
          <t>Mixed</t>
        </is>
      </c>
      <c r="O59" t="inlineStr">
        <is>
          <t>Team</t>
        </is>
      </c>
      <c r="P59" t="inlineStr"/>
      <c r="Q59" t="inlineStr"/>
    </row>
    <row r="60">
      <c r="A60" t="inlineStr">
        <is>
          <t>GAC</t>
        </is>
      </c>
      <c r="B60" t="inlineStr">
        <is>
          <t>4361952</t>
        </is>
      </c>
      <c r="C60" t="inlineStr">
        <is>
          <t>57</t>
        </is>
      </c>
      <c r="D60" t="inlineStr">
        <is>
          <t>pending</t>
        </is>
      </c>
      <c r="E60" t="b">
        <v>1</v>
      </c>
      <c r="F60">
        <f>IMAGE("https://chmeetings.blob.core.windows.net/846969/attachments/Hjxi9RYULUCBzV5lFGI92Q/b0ae99dc-29e8-4902-8dad-c2ffe54bf1b2.jpg")</f>
        <v/>
      </c>
      <c r="G60" t="inlineStr">
        <is>
          <t>Michael</t>
        </is>
      </c>
      <c r="H60" t="inlineStr">
        <is>
          <t>Cisneros</t>
        </is>
      </c>
      <c r="I60" t="inlineStr">
        <is>
          <t>Male</t>
        </is>
      </c>
      <c r="J60" t="n">
        <v>16</v>
      </c>
      <c r="K60" t="inlineStr">
        <is>
          <t>(925) 826-9988</t>
        </is>
      </c>
      <c r="L60" t="inlineStr">
        <is>
          <t>michael.cisneros03@icloud.com</t>
        </is>
      </c>
      <c r="M60" t="inlineStr">
        <is>
          <t>Tug-of-war</t>
        </is>
      </c>
      <c r="N60" t="inlineStr">
        <is>
          <t>Mixed</t>
        </is>
      </c>
      <c r="O60" t="inlineStr">
        <is>
          <t>Team</t>
        </is>
      </c>
      <c r="P60" t="inlineStr"/>
      <c r="Q60" t="inlineStr"/>
    </row>
    <row r="61">
      <c r="A61" t="inlineStr">
        <is>
          <t>GAC</t>
        </is>
      </c>
      <c r="B61" t="inlineStr">
        <is>
          <t>3636819</t>
        </is>
      </c>
      <c r="C61" t="inlineStr">
        <is>
          <t>53</t>
        </is>
      </c>
      <c r="D61" t="inlineStr">
        <is>
          <t>validated</t>
        </is>
      </c>
      <c r="E61" t="b">
        <v>1</v>
      </c>
      <c r="F61">
        <f>IMAGE("https://chmeetings.blob.core.windows.net/846969/attachments/2EMW7UJtRk6APQ4qdfqDcA/cae1b6ba-c323-4927-8239-f131801812c4.jpg")</f>
        <v/>
      </c>
      <c r="G61" t="inlineStr">
        <is>
          <t>Jeremy</t>
        </is>
      </c>
      <c r="H61" t="inlineStr">
        <is>
          <t>OConnor</t>
        </is>
      </c>
      <c r="I61" t="inlineStr">
        <is>
          <t>Male</t>
        </is>
      </c>
      <c r="J61" t="n">
        <v>28</v>
      </c>
      <c r="K61" t="inlineStr">
        <is>
          <t>(408) 728-2130</t>
        </is>
      </c>
      <c r="L61" t="inlineStr">
        <is>
          <t>jeremyoc241@gmail.com</t>
        </is>
      </c>
      <c r="M61" t="inlineStr">
        <is>
          <t>Tug-of-war</t>
        </is>
      </c>
      <c r="N61" t="inlineStr">
        <is>
          <t>Mixed</t>
        </is>
      </c>
      <c r="O61" t="inlineStr">
        <is>
          <t>Team</t>
        </is>
      </c>
      <c r="P61" t="inlineStr"/>
      <c r="Q61" t="inlineStr"/>
    </row>
    <row r="62">
      <c r="A62" t="inlineStr">
        <is>
          <t>GAC</t>
        </is>
      </c>
      <c r="B62" t="inlineStr">
        <is>
          <t>3615948</t>
        </is>
      </c>
      <c r="C62" t="inlineStr">
        <is>
          <t>46</t>
        </is>
      </c>
      <c r="D62" t="inlineStr">
        <is>
          <t>validated</t>
        </is>
      </c>
      <c r="E62" t="b">
        <v>1</v>
      </c>
      <c r="F62">
        <f>IMAGE("https://chmeetings.blob.core.windows.net/846969/attachments/jl2i4eVeYECLBJcTyk7tA/55b9f204-7df3-4ccf-ba35-08d5400d946c.jpg")</f>
        <v/>
      </c>
      <c r="G62" t="inlineStr">
        <is>
          <t>Anthony</t>
        </is>
      </c>
      <c r="H62" t="inlineStr">
        <is>
          <t>Ta</t>
        </is>
      </c>
      <c r="I62" t="inlineStr">
        <is>
          <t>Male</t>
        </is>
      </c>
      <c r="J62" t="n">
        <v>25</v>
      </c>
      <c r="K62" t="inlineStr">
        <is>
          <t>502</t>
        </is>
      </c>
      <c r="L62" t="inlineStr">
        <is>
          <t>anthonyta502@gmail.com</t>
        </is>
      </c>
      <c r="M62" t="inlineStr">
        <is>
          <t>Tug-of-war</t>
        </is>
      </c>
      <c r="N62" t="inlineStr">
        <is>
          <t>Mixed</t>
        </is>
      </c>
      <c r="O62" t="inlineStr">
        <is>
          <t>Team</t>
        </is>
      </c>
      <c r="P62" t="inlineStr"/>
      <c r="Q62" t="inlineStr"/>
    </row>
    <row r="63">
      <c r="A63" t="inlineStr">
        <is>
          <t>GAC</t>
        </is>
      </c>
      <c r="B63" t="inlineStr">
        <is>
          <t>3618803</t>
        </is>
      </c>
      <c r="C63" t="inlineStr">
        <is>
          <t>47</t>
        </is>
      </c>
      <c r="D63" t="inlineStr">
        <is>
          <t>validated</t>
        </is>
      </c>
      <c r="E63" t="b">
        <v>1</v>
      </c>
      <c r="F63">
        <f>IMAGE("https://chmeetings.blob.core.windows.net/846969/attachments/8RaR3P2EW0W4gXH4RYhbTA/5ceea1d8-d408-4951-80f1-990d0318e7f1.jpg")</f>
        <v/>
      </c>
      <c r="G63" t="inlineStr">
        <is>
          <t>Brendan</t>
        </is>
      </c>
      <c r="H63" t="inlineStr">
        <is>
          <t>Chau</t>
        </is>
      </c>
      <c r="I63" t="inlineStr">
        <is>
          <t>Male</t>
        </is>
      </c>
      <c r="J63" t="n">
        <v>28</v>
      </c>
      <c r="K63" t="inlineStr">
        <is>
          <t>(408) 781-6867</t>
        </is>
      </c>
      <c r="L63" t="inlineStr">
        <is>
          <t>bvanchau35@gmail.com</t>
        </is>
      </c>
      <c r="M63" t="inlineStr">
        <is>
          <t>Volleyball</t>
        </is>
      </c>
      <c r="N63" t="inlineStr">
        <is>
          <t>Men</t>
        </is>
      </c>
      <c r="O63" t="inlineStr">
        <is>
          <t>Team</t>
        </is>
      </c>
      <c r="P63" t="inlineStr"/>
      <c r="Q63" t="inlineStr"/>
    </row>
    <row r="64">
      <c r="A64" t="inlineStr">
        <is>
          <t>GAC</t>
        </is>
      </c>
      <c r="B64" t="inlineStr">
        <is>
          <t>3610923</t>
        </is>
      </c>
      <c r="C64" t="inlineStr">
        <is>
          <t>44</t>
        </is>
      </c>
      <c r="D64" t="inlineStr">
        <is>
          <t>validated</t>
        </is>
      </c>
      <c r="E64" t="b">
        <v>1</v>
      </c>
      <c r="F64">
        <f>IMAGE("https://chmeetings.blob.core.windows.net/846969/attachments/AJjEeJ7FkyqVeAXFVXrlg/66768031-3472-431a-97e3-c4999286e61d.jpg")</f>
        <v/>
      </c>
      <c r="G64" t="inlineStr">
        <is>
          <t>Alexander</t>
        </is>
      </c>
      <c r="H64" t="inlineStr">
        <is>
          <t>Huynh</t>
        </is>
      </c>
      <c r="I64" t="inlineStr">
        <is>
          <t>Male</t>
        </is>
      </c>
      <c r="J64" t="n">
        <v>18</v>
      </c>
      <c r="K64" t="inlineStr">
        <is>
          <t>(510) 316-6941</t>
        </is>
      </c>
      <c r="L64" t="inlineStr">
        <is>
          <t>Evanassist@gmail.com</t>
        </is>
      </c>
      <c r="M64" t="inlineStr">
        <is>
          <t>Volleyball</t>
        </is>
      </c>
      <c r="N64" t="inlineStr">
        <is>
          <t>Men</t>
        </is>
      </c>
      <c r="O64" t="inlineStr">
        <is>
          <t>Team</t>
        </is>
      </c>
      <c r="P64" t="inlineStr"/>
      <c r="Q64" t="inlineStr"/>
    </row>
    <row r="65">
      <c r="A65" t="inlineStr">
        <is>
          <t>GAC</t>
        </is>
      </c>
      <c r="B65" t="inlineStr">
        <is>
          <t>3623145</t>
        </is>
      </c>
      <c r="C65" t="inlineStr">
        <is>
          <t>49</t>
        </is>
      </c>
      <c r="D65" t="inlineStr">
        <is>
          <t>pending</t>
        </is>
      </c>
      <c r="E65" t="b">
        <v>1</v>
      </c>
      <c r="F65">
        <f>IMAGE("https://chmeetings.blob.core.windows.net/846969/attachments/0thvFv8nzUSwHPFCj8rLmw/70d3cc8f-121f-41dd-afb3-47222f355027.jpg")</f>
        <v/>
      </c>
      <c r="G65" t="inlineStr">
        <is>
          <t>Elijah</t>
        </is>
      </c>
      <c r="H65" t="inlineStr">
        <is>
          <t>Nguyen</t>
        </is>
      </c>
      <c r="I65" t="inlineStr">
        <is>
          <t>Male</t>
        </is>
      </c>
      <c r="J65" t="n">
        <v>14</v>
      </c>
      <c r="K65" t="inlineStr">
        <is>
          <t>(408) 772-9825</t>
        </is>
      </c>
      <c r="L65" t="inlineStr">
        <is>
          <t>write2phuong2020@gmail.com</t>
        </is>
      </c>
      <c r="M65" t="inlineStr">
        <is>
          <t>Volleyball</t>
        </is>
      </c>
      <c r="N65" t="inlineStr">
        <is>
          <t>Men</t>
        </is>
      </c>
      <c r="O65" t="inlineStr">
        <is>
          <t>Team</t>
        </is>
      </c>
      <c r="P65" t="inlineStr"/>
      <c r="Q65" t="inlineStr"/>
    </row>
    <row r="66">
      <c r="A66" t="inlineStr">
        <is>
          <t>GAC</t>
        </is>
      </c>
      <c r="B66" t="inlineStr">
        <is>
          <t>4361937</t>
        </is>
      </c>
      <c r="C66" t="inlineStr">
        <is>
          <t>52</t>
        </is>
      </c>
      <c r="D66" t="inlineStr">
        <is>
          <t>pending</t>
        </is>
      </c>
      <c r="E66" t="b">
        <v>1</v>
      </c>
      <c r="F66">
        <f>IMAGE("https://chmeetings.blob.core.windows.net/846969/attachments/5Nf9EulpAEWOHqW7O8qfHw/1fee0c8c-28e9-4436-82ae-c417b47471af.jpg")</f>
        <v/>
      </c>
      <c r="G66" t="inlineStr">
        <is>
          <t>Isaiah</t>
        </is>
      </c>
      <c r="H66" t="inlineStr">
        <is>
          <t>Nguyen</t>
        </is>
      </c>
      <c r="I66" t="inlineStr">
        <is>
          <t>Male</t>
        </is>
      </c>
      <c r="J66" t="n">
        <v>12</v>
      </c>
      <c r="K66" t="inlineStr">
        <is>
          <t>(408) 772-9825</t>
        </is>
      </c>
      <c r="L66" t="inlineStr">
        <is>
          <t>Phuongluu22@yahoo.com</t>
        </is>
      </c>
      <c r="M66" t="inlineStr">
        <is>
          <t>Volleyball</t>
        </is>
      </c>
      <c r="N66" t="inlineStr">
        <is>
          <t>Men</t>
        </is>
      </c>
      <c r="O66" t="inlineStr">
        <is>
          <t>Team</t>
        </is>
      </c>
      <c r="P66" t="inlineStr"/>
      <c r="Q66" t="inlineStr"/>
    </row>
    <row r="67">
      <c r="A67" t="inlineStr">
        <is>
          <t>GAC</t>
        </is>
      </c>
      <c r="B67" t="inlineStr">
        <is>
          <t>3636819</t>
        </is>
      </c>
      <c r="C67" t="inlineStr">
        <is>
          <t>53</t>
        </is>
      </c>
      <c r="D67" t="inlineStr">
        <is>
          <t>validated</t>
        </is>
      </c>
      <c r="E67" t="b">
        <v>1</v>
      </c>
      <c r="F67">
        <f>IMAGE("https://chmeetings.blob.core.windows.net/846969/attachments/2EMW7UJtRk6APQ4qdfqDcA/cae1b6ba-c323-4927-8239-f131801812c4.jpg")</f>
        <v/>
      </c>
      <c r="G67" t="inlineStr">
        <is>
          <t>Jeremy</t>
        </is>
      </c>
      <c r="H67" t="inlineStr">
        <is>
          <t>OConnor</t>
        </is>
      </c>
      <c r="I67" t="inlineStr">
        <is>
          <t>Male</t>
        </is>
      </c>
      <c r="J67" t="n">
        <v>28</v>
      </c>
      <c r="K67" t="inlineStr">
        <is>
          <t>(408) 728-2130</t>
        </is>
      </c>
      <c r="L67" t="inlineStr">
        <is>
          <t>jeremyoc241@gmail.com</t>
        </is>
      </c>
      <c r="M67" t="inlineStr">
        <is>
          <t>Volleyball</t>
        </is>
      </c>
      <c r="N67" t="inlineStr">
        <is>
          <t>Men</t>
        </is>
      </c>
      <c r="O67" t="inlineStr">
        <is>
          <t>Team</t>
        </is>
      </c>
      <c r="P67" t="inlineStr"/>
      <c r="Q67" t="inlineStr"/>
    </row>
    <row r="68">
      <c r="A68" t="inlineStr">
        <is>
          <t>GAC</t>
        </is>
      </c>
      <c r="B68" t="inlineStr">
        <is>
          <t>3610919</t>
        </is>
      </c>
      <c r="C68" t="inlineStr">
        <is>
          <t>60</t>
        </is>
      </c>
      <c r="D68" t="inlineStr">
        <is>
          <t>pending</t>
        </is>
      </c>
      <c r="E68" t="b">
        <v>1</v>
      </c>
      <c r="F68">
        <f>IMAGE("https://chmeetings.blob.core.windows.net/846969/attachments/5eKHOYUtGk6OW2Yv9KYF7Q/38b6a312-42c2-45d1-bf6e-ff86f4ceeca3.jpg")</f>
        <v/>
      </c>
      <c r="G68" t="inlineStr">
        <is>
          <t>Noah</t>
        </is>
      </c>
      <c r="H68" t="inlineStr">
        <is>
          <t>Vo</t>
        </is>
      </c>
      <c r="I68" t="inlineStr">
        <is>
          <t>Male</t>
        </is>
      </c>
      <c r="J68" t="n">
        <v>16</v>
      </c>
      <c r="K68" t="inlineStr">
        <is>
          <t>(510) 605-8983</t>
        </is>
      </c>
      <c r="L68" t="inlineStr">
        <is>
          <t>noahhappysmiles@gmail.com</t>
        </is>
      </c>
      <c r="M68" t="inlineStr">
        <is>
          <t>Volleyball</t>
        </is>
      </c>
      <c r="N68" t="inlineStr">
        <is>
          <t>Men</t>
        </is>
      </c>
      <c r="O68" t="inlineStr">
        <is>
          <t>Team</t>
        </is>
      </c>
      <c r="P68" t="inlineStr"/>
      <c r="Q68" t="inlineStr"/>
    </row>
    <row r="69">
      <c r="A69" t="inlineStr">
        <is>
          <t>GAC</t>
        </is>
      </c>
      <c r="B69" t="inlineStr">
        <is>
          <t>4363700</t>
        </is>
      </c>
      <c r="C69" t="inlineStr">
        <is>
          <t>109</t>
        </is>
      </c>
      <c r="D69" t="inlineStr">
        <is>
          <t>validated</t>
        </is>
      </c>
      <c r="E69" t="b">
        <v>0</v>
      </c>
      <c r="F69">
        <f>IMAGE("https://chmeetings.blob.core.windows.net/846969/attachments/qTC9Uat4MUaxatcLkF0ToA/508040b5-57e0-45eb-af89-0ef09a49a069.jpg")</f>
        <v/>
      </c>
      <c r="G69" t="inlineStr">
        <is>
          <t>Marisa</t>
        </is>
      </c>
      <c r="H69" t="inlineStr">
        <is>
          <t>Ahmed</t>
        </is>
      </c>
      <c r="I69" t="inlineStr">
        <is>
          <t>Female</t>
        </is>
      </c>
      <c r="J69" t="n">
        <v>30</v>
      </c>
      <c r="K69" t="inlineStr">
        <is>
          <t>(408) 209-1904</t>
        </is>
      </c>
      <c r="L69" t="inlineStr">
        <is>
          <t>mmllahmed@gmail.com</t>
        </is>
      </c>
      <c r="M69" t="inlineStr">
        <is>
          <t>Volleyball</t>
        </is>
      </c>
      <c r="N69" t="inlineStr">
        <is>
          <t>Women</t>
        </is>
      </c>
      <c r="O69" t="inlineStr">
        <is>
          <t>Team</t>
        </is>
      </c>
      <c r="P69" t="inlineStr"/>
      <c r="Q69" t="inlineStr"/>
    </row>
    <row r="70">
      <c r="A70" t="inlineStr">
        <is>
          <t>GAC</t>
        </is>
      </c>
      <c r="B70" t="inlineStr">
        <is>
          <t>3639279</t>
        </is>
      </c>
      <c r="C70" t="inlineStr">
        <is>
          <t>51</t>
        </is>
      </c>
      <c r="D70" t="inlineStr">
        <is>
          <t>pending</t>
        </is>
      </c>
      <c r="E70" t="b">
        <v>1</v>
      </c>
      <c r="F70">
        <f>IMAGE("https://chmeetings.blob.core.windows.net/846969/attachments/B9YkQiCMUuEl7fhMqM94w/b0f466ec-8acd-4c6f-adef-e6a3339767c4.jpg")</f>
        <v/>
      </c>
      <c r="G70" t="inlineStr">
        <is>
          <t>Gavrielle</t>
        </is>
      </c>
      <c r="H70" t="inlineStr">
        <is>
          <t>Ha</t>
        </is>
      </c>
      <c r="I70" t="inlineStr">
        <is>
          <t>Female</t>
        </is>
      </c>
      <c r="J70" t="n">
        <v>13</v>
      </c>
      <c r="K70" t="inlineStr">
        <is>
          <t>(408) 332-1859</t>
        </is>
      </c>
      <c r="L70" t="inlineStr">
        <is>
          <t>Lovekountry2@gmail.com</t>
        </is>
      </c>
      <c r="M70" t="inlineStr">
        <is>
          <t>Volleyball</t>
        </is>
      </c>
      <c r="N70" t="inlineStr">
        <is>
          <t>Women</t>
        </is>
      </c>
      <c r="O70" t="inlineStr">
        <is>
          <t>Team</t>
        </is>
      </c>
      <c r="P70" t="inlineStr"/>
      <c r="Q70" t="inlineStr"/>
    </row>
    <row r="71">
      <c r="A71" t="inlineStr">
        <is>
          <t>GAC</t>
        </is>
      </c>
      <c r="B71" t="inlineStr">
        <is>
          <t>3610922</t>
        </is>
      </c>
      <c r="C71" t="inlineStr">
        <is>
          <t>59</t>
        </is>
      </c>
      <c r="D71" t="inlineStr">
        <is>
          <t>pending</t>
        </is>
      </c>
      <c r="E71" t="b">
        <v>1</v>
      </c>
      <c r="F71">
        <f>IMAGE("https://chmeetings.blob.core.windows.net/846969/attachments/vznt2lixkKeNUrklylAOQ/9b94be0d-392e-4d1e-99d0-3439fb73bcd7.jpg")</f>
        <v/>
      </c>
      <c r="G71" t="inlineStr">
        <is>
          <t>Natalie</t>
        </is>
      </c>
      <c r="H71" t="inlineStr">
        <is>
          <t>Huynh</t>
        </is>
      </c>
      <c r="I71" t="inlineStr">
        <is>
          <t>Female</t>
        </is>
      </c>
      <c r="J71" t="n">
        <v>17</v>
      </c>
      <c r="K71" t="inlineStr">
        <is>
          <t>(510) 316-6941</t>
        </is>
      </c>
      <c r="L71" t="inlineStr">
        <is>
          <t>Evanassist@gmail.com</t>
        </is>
      </c>
      <c r="M71" t="inlineStr">
        <is>
          <t>Volleyball</t>
        </is>
      </c>
      <c r="N71" t="inlineStr">
        <is>
          <t>Women</t>
        </is>
      </c>
      <c r="O71" t="inlineStr">
        <is>
          <t>Team</t>
        </is>
      </c>
      <c r="P71" t="inlineStr"/>
      <c r="Q71" t="inlineStr"/>
    </row>
    <row r="72">
      <c r="A72" t="inlineStr">
        <is>
          <t>GAC</t>
        </is>
      </c>
      <c r="B72" t="inlineStr">
        <is>
          <t>4361940</t>
        </is>
      </c>
      <c r="C72" t="inlineStr">
        <is>
          <t>54</t>
        </is>
      </c>
      <c r="D72" t="inlineStr">
        <is>
          <t>validated</t>
        </is>
      </c>
      <c r="E72" t="b">
        <v>0</v>
      </c>
      <c r="F72">
        <f>IMAGE("https://chmeetings.blob.core.windows.net/846969/attachments/O0vulBN2fEWjf0Xb50kUBg/56df1b2d-2da3-4c47-b78a-9a3753b58c1f.jpg")</f>
        <v/>
      </c>
      <c r="G72" t="inlineStr">
        <is>
          <t>Jill</t>
        </is>
      </c>
      <c r="H72" t="inlineStr">
        <is>
          <t>Mangawang</t>
        </is>
      </c>
      <c r="I72" t="inlineStr">
        <is>
          <t>Female</t>
        </is>
      </c>
      <c r="J72" t="n">
        <v>26</v>
      </c>
      <c r="K72" t="inlineStr">
        <is>
          <t>(650) 773-4162</t>
        </is>
      </c>
      <c r="L72" t="inlineStr">
        <is>
          <t>Jill.marjorie@yahoo.com</t>
        </is>
      </c>
      <c r="M72" t="inlineStr">
        <is>
          <t>Volleyball</t>
        </is>
      </c>
      <c r="N72" t="inlineStr">
        <is>
          <t>Women</t>
        </is>
      </c>
      <c r="O72" t="inlineStr">
        <is>
          <t>Team</t>
        </is>
      </c>
      <c r="P72" t="inlineStr"/>
      <c r="Q72" t="inlineStr"/>
    </row>
    <row r="73">
      <c r="A73" t="inlineStr">
        <is>
          <t>GAC</t>
        </is>
      </c>
      <c r="B73" t="inlineStr">
        <is>
          <t>3623148</t>
        </is>
      </c>
      <c r="C73" t="inlineStr">
        <is>
          <t>43</t>
        </is>
      </c>
      <c r="D73" t="inlineStr">
        <is>
          <t>pending</t>
        </is>
      </c>
      <c r="E73" t="b">
        <v>1</v>
      </c>
      <c r="F73">
        <f>IMAGE("https://chmeetings.blob.core.windows.net/846969/attachments/4mCxNo0K6gT61d20NBA/fcae834f-995c-404b-ac0d-725ca2e16255.jpg")</f>
        <v/>
      </c>
      <c r="G73" t="inlineStr">
        <is>
          <t>Abigail</t>
        </is>
      </c>
      <c r="H73" t="inlineStr">
        <is>
          <t>Ngo</t>
        </is>
      </c>
      <c r="I73" t="inlineStr">
        <is>
          <t>Female</t>
        </is>
      </c>
      <c r="J73" t="n">
        <v>17</v>
      </c>
      <c r="K73" t="inlineStr">
        <is>
          <t>(408) 394-9972</t>
        </is>
      </c>
      <c r="L73" t="inlineStr">
        <is>
          <t>abigailpearln@gmail.com</t>
        </is>
      </c>
      <c r="M73" t="inlineStr">
        <is>
          <t>Volleyball</t>
        </is>
      </c>
      <c r="N73" t="inlineStr">
        <is>
          <t>Women</t>
        </is>
      </c>
      <c r="O73" t="inlineStr">
        <is>
          <t>Team</t>
        </is>
      </c>
      <c r="P73" t="inlineStr"/>
      <c r="Q73" t="inlineStr"/>
    </row>
    <row r="74">
      <c r="A74" t="inlineStr">
        <is>
          <t>GAC</t>
        </is>
      </c>
      <c r="B74" t="inlineStr">
        <is>
          <t>4363701</t>
        </is>
      </c>
      <c r="C74" t="inlineStr">
        <is>
          <t>105</t>
        </is>
      </c>
      <c r="D74" t="inlineStr">
        <is>
          <t>pending</t>
        </is>
      </c>
      <c r="E74" t="b">
        <v>1</v>
      </c>
      <c r="F74">
        <f>IMAGE("https://chmeetings.blob.core.windows.net/846969/attachments/PE42ANWDEO4itEGSLic9A/c8d67430-bdd3-47dd-a724-f577a5d5e3e7.jpg")</f>
        <v/>
      </c>
      <c r="G74" t="inlineStr">
        <is>
          <t>Caitlin</t>
        </is>
      </c>
      <c r="H74" t="inlineStr">
        <is>
          <t>Tran</t>
        </is>
      </c>
      <c r="I74" t="inlineStr">
        <is>
          <t>Female</t>
        </is>
      </c>
      <c r="J74" t="n">
        <v>13</v>
      </c>
      <c r="K74" t="inlineStr">
        <is>
          <t>(408) 568-7264</t>
        </is>
      </c>
      <c r="L74" t="inlineStr">
        <is>
          <t>timltran2003@yahoo.com</t>
        </is>
      </c>
      <c r="M74" t="inlineStr">
        <is>
          <t>Volleyball</t>
        </is>
      </c>
      <c r="N74" t="inlineStr">
        <is>
          <t>Women</t>
        </is>
      </c>
      <c r="O74" t="inlineStr">
        <is>
          <t>Team</t>
        </is>
      </c>
      <c r="P74" t="inlineStr"/>
      <c r="Q74" t="inlineStr"/>
    </row>
    <row r="75">
      <c r="A75" t="inlineStr">
        <is>
          <t>GAC</t>
        </is>
      </c>
      <c r="B75" t="inlineStr">
        <is>
          <t>3610920</t>
        </is>
      </c>
      <c r="C75" t="inlineStr">
        <is>
          <t>45</t>
        </is>
      </c>
      <c r="D75" t="inlineStr">
        <is>
          <t>validated</t>
        </is>
      </c>
      <c r="E75" t="b">
        <v>1</v>
      </c>
      <c r="F75">
        <f>IMAGE("https://chmeetings.blob.core.windows.net/846969/attachments/OyWbdJyT5EixPoP3spOyLg/80becd09-3898-4d0b-a5a3-71310f9d20d4.jpg")</f>
        <v/>
      </c>
      <c r="G75" t="inlineStr">
        <is>
          <t>Aly</t>
        </is>
      </c>
      <c r="H75" t="inlineStr">
        <is>
          <t>Vo</t>
        </is>
      </c>
      <c r="I75" t="inlineStr">
        <is>
          <t>Female</t>
        </is>
      </c>
      <c r="J75" t="n">
        <v>18</v>
      </c>
      <c r="K75" t="inlineStr">
        <is>
          <t>(341) 227-8343</t>
        </is>
      </c>
      <c r="L75" t="inlineStr">
        <is>
          <t>Aly.vo29@gmail.com</t>
        </is>
      </c>
      <c r="M75" t="inlineStr">
        <is>
          <t>Volleyball</t>
        </is>
      </c>
      <c r="N75" t="inlineStr">
        <is>
          <t>Women</t>
        </is>
      </c>
      <c r="O75" t="inlineStr">
        <is>
          <t>Team</t>
        </is>
      </c>
      <c r="P75" t="inlineStr"/>
      <c r="Q75" t="inlineStr"/>
    </row>
    <row r="76">
      <c r="A76" t="inlineStr">
        <is>
          <t>GAC</t>
        </is>
      </c>
      <c r="B76" t="inlineStr">
        <is>
          <t>3610917</t>
        </is>
      </c>
      <c r="C76" t="inlineStr">
        <is>
          <t>56</t>
        </is>
      </c>
      <c r="D76" t="inlineStr">
        <is>
          <t>validated</t>
        </is>
      </c>
      <c r="E76" t="b">
        <v>1</v>
      </c>
      <c r="F76">
        <f>IMAGE("https://chmeetings.blob.core.windows.net/846969/attachments/dbPn6hwRbUmuEMeKWTNWxg/56cb0979-8b71-4c8e-9f5b-db9d018e400f.jpg")</f>
        <v/>
      </c>
      <c r="G76" t="inlineStr">
        <is>
          <t>Kayla</t>
        </is>
      </c>
      <c r="H76" t="inlineStr">
        <is>
          <t>Vo</t>
        </is>
      </c>
      <c r="I76" t="inlineStr">
        <is>
          <t>Female</t>
        </is>
      </c>
      <c r="J76" t="n">
        <v>19</v>
      </c>
      <c r="K76" t="inlineStr">
        <is>
          <t>(510) 774-2614</t>
        </is>
      </c>
      <c r="L76" t="inlineStr">
        <is>
          <t>kaimyvo@gmail.com</t>
        </is>
      </c>
      <c r="M76" t="inlineStr">
        <is>
          <t>Volleyball</t>
        </is>
      </c>
      <c r="N76" t="inlineStr">
        <is>
          <t>Women</t>
        </is>
      </c>
      <c r="O76" t="inlineStr">
        <is>
          <t>Team</t>
        </is>
      </c>
      <c r="P76" t="inlineStr"/>
      <c r="Q76" t="inlineStr"/>
    </row>
    <row r="77">
      <c r="A77" t="inlineStr">
        <is>
          <t>GLA</t>
        </is>
      </c>
      <c r="B77" t="inlineStr">
        <is>
          <t>3626538</t>
        </is>
      </c>
      <c r="C77" t="inlineStr">
        <is>
          <t>93</t>
        </is>
      </c>
      <c r="D77" t="inlineStr">
        <is>
          <t>validated</t>
        </is>
      </c>
      <c r="E77" t="b">
        <v>0</v>
      </c>
      <c r="F77">
        <f>IMAGE("https://chmeetings.blob.core.windows.net/846969/attachments/q2lPenc10mkyifWDpteDw/d35966b3-7913-4313-ada9-9e3f70d94f15.jpg")</f>
        <v/>
      </c>
      <c r="G77" t="inlineStr">
        <is>
          <t>Sophia</t>
        </is>
      </c>
      <c r="H77" t="inlineStr">
        <is>
          <t>Ly</t>
        </is>
      </c>
      <c r="I77" t="inlineStr">
        <is>
          <t>Female</t>
        </is>
      </c>
      <c r="J77" t="n">
        <v>29</v>
      </c>
      <c r="K77" t="inlineStr">
        <is>
          <t>(626) 993-8265</t>
        </is>
      </c>
      <c r="L77" t="inlineStr">
        <is>
          <t>Nousesyly@gmail.com</t>
        </is>
      </c>
      <c r="M77" t="inlineStr">
        <is>
          <t>Badminton</t>
        </is>
      </c>
      <c r="N77" t="inlineStr">
        <is>
          <t>Mixed</t>
        </is>
      </c>
      <c r="O77" t="inlineStr">
        <is>
          <t>Doubles</t>
        </is>
      </c>
      <c r="P77" t="inlineStr"/>
      <c r="Q77" t="inlineStr">
        <is>
          <t>Thien Lau</t>
        </is>
      </c>
    </row>
    <row r="78">
      <c r="A78" t="inlineStr">
        <is>
          <t>GLA</t>
        </is>
      </c>
      <c r="B78" t="inlineStr">
        <is>
          <t>3570848</t>
        </is>
      </c>
      <c r="C78" t="inlineStr">
        <is>
          <t>90</t>
        </is>
      </c>
      <c r="D78" t="inlineStr">
        <is>
          <t>pending_approval</t>
        </is>
      </c>
      <c r="E78" t="b">
        <v>1</v>
      </c>
      <c r="F78">
        <f>IMAGE("https://chmeetings.blob.core.windows.net/846969/attachments/9nPE07rppUmkSggzO9ESg/47d06526-4fa5-4234-9c13-94ab1e6ca296.jpg")</f>
        <v/>
      </c>
      <c r="G78" t="inlineStr">
        <is>
          <t>Edwin Joshua</t>
        </is>
      </c>
      <c r="H78" t="inlineStr">
        <is>
          <t>Miciano</t>
        </is>
      </c>
      <c r="I78" t="inlineStr">
        <is>
          <t>Male</t>
        </is>
      </c>
      <c r="J78" t="n">
        <v>25</v>
      </c>
      <c r="K78" t="inlineStr">
        <is>
          <t>(818) 572-5802</t>
        </is>
      </c>
      <c r="L78" t="inlineStr">
        <is>
          <t>ejomiciano@gmail.com</t>
        </is>
      </c>
      <c r="M78" t="inlineStr">
        <is>
          <t>Basketball</t>
        </is>
      </c>
      <c r="N78" t="inlineStr">
        <is>
          <t>Mixed</t>
        </is>
      </c>
      <c r="O78" t="inlineStr">
        <is>
          <t>Team</t>
        </is>
      </c>
      <c r="P78" t="inlineStr"/>
      <c r="Q78" t="inlineStr"/>
    </row>
    <row r="79">
      <c r="A79" t="inlineStr">
        <is>
          <t>GLA</t>
        </is>
      </c>
      <c r="B79" t="inlineStr">
        <is>
          <t>3629598</t>
        </is>
      </c>
      <c r="C79" t="inlineStr">
        <is>
          <t>36</t>
        </is>
      </c>
      <c r="D79" t="inlineStr">
        <is>
          <t>pending_approval</t>
        </is>
      </c>
      <c r="E79" t="b">
        <v>1</v>
      </c>
      <c r="F79">
        <f>IMAGE("https://chmeetings.blob.core.windows.net/846969/attachments/BXJuEt43kmCzzwySYy0w/35a1da42-670c-46b3-a780-f0a182a01ab2.jpg")</f>
        <v/>
      </c>
      <c r="G79" t="inlineStr">
        <is>
          <t>Jason</t>
        </is>
      </c>
      <c r="H79" t="inlineStr">
        <is>
          <t>Ngo</t>
        </is>
      </c>
      <c r="I79" t="inlineStr">
        <is>
          <t>Male</t>
        </is>
      </c>
      <c r="J79" t="n">
        <v>18</v>
      </c>
      <c r="K79" t="inlineStr">
        <is>
          <t>(626) 382-9183</t>
        </is>
      </c>
      <c r="L79" t="inlineStr">
        <is>
          <t>ngojason99@gmail.com</t>
        </is>
      </c>
      <c r="M79" t="inlineStr">
        <is>
          <t>Basketball</t>
        </is>
      </c>
      <c r="N79" t="inlineStr">
        <is>
          <t>Mixed</t>
        </is>
      </c>
      <c r="O79" t="inlineStr">
        <is>
          <t>Team</t>
        </is>
      </c>
      <c r="P79" t="inlineStr"/>
      <c r="Q79" t="inlineStr"/>
    </row>
    <row r="80">
      <c r="A80" t="inlineStr">
        <is>
          <t>GLA</t>
        </is>
      </c>
      <c r="B80" t="inlineStr">
        <is>
          <t>3622669</t>
        </is>
      </c>
      <c r="C80" t="inlineStr">
        <is>
          <t>35</t>
        </is>
      </c>
      <c r="D80" t="inlineStr">
        <is>
          <t>pending_approval</t>
        </is>
      </c>
      <c r="E80" t="b">
        <v>1</v>
      </c>
      <c r="F80">
        <f>IMAGE("https://chmeetings.blob.core.windows.net/846969/attachments/uJkCrgqNzkSEZSsvBrzxzg/dd65d621-0f48-4d4b-bceb-4bdde79b8168.jpg")</f>
        <v/>
      </c>
      <c r="G80" t="inlineStr">
        <is>
          <t>Brittany</t>
        </is>
      </c>
      <c r="H80" t="inlineStr">
        <is>
          <t>Huynh</t>
        </is>
      </c>
      <c r="I80" t="inlineStr">
        <is>
          <t>Female</t>
        </is>
      </c>
      <c r="J80" t="n">
        <v>28</v>
      </c>
      <c r="K80" t="inlineStr">
        <is>
          <t>(818) 681-6010</t>
        </is>
      </c>
      <c r="L80" t="inlineStr">
        <is>
          <t>brittany.huynh08@gmail.com</t>
        </is>
      </c>
      <c r="M80" t="inlineStr">
        <is>
          <t>Bible Challenge</t>
        </is>
      </c>
      <c r="N80" t="inlineStr">
        <is>
          <t>Mixed</t>
        </is>
      </c>
      <c r="O80" t="inlineStr">
        <is>
          <t>Team</t>
        </is>
      </c>
      <c r="P80" t="inlineStr"/>
      <c r="Q80" t="inlineStr"/>
    </row>
    <row r="81">
      <c r="A81" t="inlineStr">
        <is>
          <t>GLA</t>
        </is>
      </c>
      <c r="B81" t="inlineStr">
        <is>
          <t>3615916</t>
        </is>
      </c>
      <c r="C81" t="inlineStr">
        <is>
          <t>40</t>
        </is>
      </c>
      <c r="D81" t="inlineStr">
        <is>
          <t>pending_approval</t>
        </is>
      </c>
      <c r="E81" t="b">
        <v>1</v>
      </c>
      <c r="F81">
        <f>IMAGE("https://chmeetings.blob.core.windows.net/846969/attachments/kZ8EYhJrK02XqidXFTFjaA/a31be902-82b7-46d4-99d9-bcb4f0d9a080.jpg")</f>
        <v/>
      </c>
      <c r="G81" t="inlineStr">
        <is>
          <t>Thu</t>
        </is>
      </c>
      <c r="H81" t="inlineStr">
        <is>
          <t>Mai</t>
        </is>
      </c>
      <c r="I81" t="inlineStr">
        <is>
          <t>Male</t>
        </is>
      </c>
      <c r="J81" t="n">
        <v>30</v>
      </c>
      <c r="K81" t="inlineStr">
        <is>
          <t>(213) 550-6758</t>
        </is>
      </c>
      <c r="L81" t="inlineStr">
        <is>
          <t>Mai2twix@gmail.com</t>
        </is>
      </c>
      <c r="M81" t="inlineStr">
        <is>
          <t>Bible Challenge</t>
        </is>
      </c>
      <c r="N81" t="inlineStr">
        <is>
          <t>Mixed</t>
        </is>
      </c>
      <c r="O81" t="inlineStr">
        <is>
          <t>Team</t>
        </is>
      </c>
      <c r="P81" t="inlineStr"/>
      <c r="Q81" t="inlineStr"/>
    </row>
    <row r="82">
      <c r="A82" t="inlineStr">
        <is>
          <t>GLA</t>
        </is>
      </c>
      <c r="B82" t="inlineStr">
        <is>
          <t>3476631</t>
        </is>
      </c>
      <c r="C82" t="inlineStr">
        <is>
          <t>39</t>
        </is>
      </c>
      <c r="D82" t="inlineStr">
        <is>
          <t>validated</t>
        </is>
      </c>
      <c r="E82" t="b">
        <v>1</v>
      </c>
      <c r="F82">
        <f>IMAGE("https://chmeetings.blob.core.windows.net/846969/attachments/CakuT0nFcE6wgbtq4gPaVg/94bed426-bace-4116-89e1-37cf2dfbec3c.jpg")</f>
        <v/>
      </c>
      <c r="G82" t="inlineStr">
        <is>
          <t>Rebecca</t>
        </is>
      </c>
      <c r="H82" t="inlineStr">
        <is>
          <t>Nguyen</t>
        </is>
      </c>
      <c r="I82" t="inlineStr">
        <is>
          <t>Female</t>
        </is>
      </c>
      <c r="J82" t="n">
        <v>24</v>
      </c>
      <c r="K82" t="inlineStr">
        <is>
          <t>(818) 212-8589</t>
        </is>
      </c>
      <c r="L82" t="inlineStr">
        <is>
          <t>rebeccanguyen0621@gmail.com</t>
        </is>
      </c>
      <c r="M82" t="inlineStr">
        <is>
          <t>Bible Challenge</t>
        </is>
      </c>
      <c r="N82" t="inlineStr">
        <is>
          <t>Mixed</t>
        </is>
      </c>
      <c r="O82" t="inlineStr">
        <is>
          <t>Team</t>
        </is>
      </c>
      <c r="P82" t="inlineStr"/>
      <c r="Q82" t="inlineStr"/>
    </row>
    <row r="83">
      <c r="A83" t="inlineStr">
        <is>
          <t>GLA</t>
        </is>
      </c>
      <c r="B83" t="inlineStr">
        <is>
          <t>3615944</t>
        </is>
      </c>
      <c r="C83" t="inlineStr">
        <is>
          <t>91</t>
        </is>
      </c>
      <c r="D83" t="inlineStr">
        <is>
          <t>validated</t>
        </is>
      </c>
      <c r="E83" t="b">
        <v>1</v>
      </c>
      <c r="F83">
        <f>IMAGE("https://chmeetings.blob.core.windows.net/846969/attachments/rYVJ4qoKkKAROIF7jl8aw/b8c5c502-e207-415e-860d-5ced9831efc8.jpg")</f>
        <v/>
      </c>
      <c r="G83" t="inlineStr">
        <is>
          <t>Johnson</t>
        </is>
      </c>
      <c r="H83" t="inlineStr">
        <is>
          <t>Pham</t>
        </is>
      </c>
      <c r="I83" t="inlineStr">
        <is>
          <t>Male</t>
        </is>
      </c>
      <c r="J83" t="n">
        <v>28</v>
      </c>
      <c r="K83" t="inlineStr">
        <is>
          <t>(626) 940-6989</t>
        </is>
      </c>
      <c r="L83" t="inlineStr">
        <is>
          <t>Johnson.hpham98@gmail.com</t>
        </is>
      </c>
      <c r="M83" t="inlineStr">
        <is>
          <t>Pickleball</t>
        </is>
      </c>
      <c r="N83" t="inlineStr">
        <is>
          <t>Mixed</t>
        </is>
      </c>
      <c r="O83" t="inlineStr">
        <is>
          <t>Team</t>
        </is>
      </c>
      <c r="P83" t="inlineStr"/>
      <c r="Q83" t="inlineStr"/>
    </row>
    <row r="84">
      <c r="A84" t="inlineStr">
        <is>
          <t>GLA</t>
        </is>
      </c>
      <c r="B84" t="inlineStr">
        <is>
          <t>3625818</t>
        </is>
      </c>
      <c r="C84" t="inlineStr">
        <is>
          <t>92</t>
        </is>
      </c>
      <c r="D84" t="inlineStr">
        <is>
          <t>validated</t>
        </is>
      </c>
      <c r="E84" t="b">
        <v>1</v>
      </c>
      <c r="F84">
        <f>IMAGE("https://chmeetings.blob.core.windows.net/846969/attachments/OSCmy82Y7Ua7YlAvx7rpoA/a5c208c0-832a-4714-9b87-ba8388868c91.jpg")</f>
        <v/>
      </c>
      <c r="G84" t="inlineStr">
        <is>
          <t>Kristine</t>
        </is>
      </c>
      <c r="H84" t="inlineStr">
        <is>
          <t>Pham</t>
        </is>
      </c>
      <c r="I84" t="inlineStr">
        <is>
          <t>Female</t>
        </is>
      </c>
      <c r="J84" t="n">
        <v>26</v>
      </c>
      <c r="K84" t="inlineStr">
        <is>
          <t>(626) 940-7093</t>
        </is>
      </c>
      <c r="L84" t="inlineStr">
        <is>
          <t>Kristinephammy@gmail.com</t>
        </is>
      </c>
      <c r="M84" t="inlineStr">
        <is>
          <t>Pickleball</t>
        </is>
      </c>
      <c r="N84" t="inlineStr">
        <is>
          <t>Women</t>
        </is>
      </c>
      <c r="O84" t="inlineStr">
        <is>
          <t>Doubles</t>
        </is>
      </c>
      <c r="P84" t="inlineStr"/>
      <c r="Q84" t="inlineStr">
        <is>
          <t>Breanne huynh</t>
        </is>
      </c>
    </row>
    <row r="85">
      <c r="A85" t="inlineStr">
        <is>
          <t>GLA</t>
        </is>
      </c>
      <c r="B85" t="inlineStr">
        <is>
          <t>3629646</t>
        </is>
      </c>
      <c r="C85" t="inlineStr">
        <is>
          <t>41</t>
        </is>
      </c>
      <c r="D85" t="inlineStr">
        <is>
          <t>pending</t>
        </is>
      </c>
      <c r="E85" t="b">
        <v>1</v>
      </c>
      <c r="F85">
        <f>IMAGE("https://chmeetings.blob.core.windows.net/846969/attachments/WfQk1w0b0O76DBIEeFaag/f6059547-2901-4815-b55d-66de1acd7f37.jpg")</f>
        <v/>
      </c>
      <c r="G85" t="inlineStr">
        <is>
          <t>Timothy</t>
        </is>
      </c>
      <c r="H85" t="inlineStr">
        <is>
          <t>Le</t>
        </is>
      </c>
      <c r="I85" t="inlineStr">
        <is>
          <t>Male</t>
        </is>
      </c>
      <c r="J85" t="n">
        <v>14</v>
      </c>
      <c r="K85" t="inlineStr">
        <is>
          <t>(747) 236-9493</t>
        </is>
      </c>
      <c r="L85" t="inlineStr">
        <is>
          <t>tle0168@mymail.lausd.net</t>
        </is>
      </c>
      <c r="M85" t="inlineStr">
        <is>
          <t>Table Tennis</t>
        </is>
      </c>
      <c r="N85" t="inlineStr">
        <is>
          <t>Men</t>
        </is>
      </c>
      <c r="O85" t="inlineStr">
        <is>
          <t>Singles</t>
        </is>
      </c>
      <c r="P85" t="inlineStr"/>
      <c r="Q85" t="inlineStr"/>
    </row>
    <row r="86">
      <c r="A86" t="inlineStr">
        <is>
          <t>GLA</t>
        </is>
      </c>
      <c r="B86" t="inlineStr">
        <is>
          <t>3615945</t>
        </is>
      </c>
      <c r="C86" t="inlineStr">
        <is>
          <t>38</t>
        </is>
      </c>
      <c r="D86" t="inlineStr">
        <is>
          <t>pending</t>
        </is>
      </c>
      <c r="E86" t="b">
        <v>1</v>
      </c>
      <c r="F86">
        <f>IMAGE("https://chmeetings.blob.core.windows.net/846969/attachments/m8ZIG9l0q0SQqgX5gZgIiw/bfdaebb3-efb9-4138-83ee-93fa773220cd.jpg")</f>
        <v/>
      </c>
      <c r="G86" t="inlineStr">
        <is>
          <t>Noah</t>
        </is>
      </c>
      <c r="H86" t="inlineStr">
        <is>
          <t>Nguyen</t>
        </is>
      </c>
      <c r="I86" t="inlineStr">
        <is>
          <t>Male</t>
        </is>
      </c>
      <c r="J86" t="n">
        <v>16</v>
      </c>
      <c r="K86" t="inlineStr">
        <is>
          <t>(818) 471-6453</t>
        </is>
      </c>
      <c r="L86" t="inlineStr">
        <is>
          <t>nnguyen0063@mymail.lausd.net</t>
        </is>
      </c>
      <c r="M86" t="inlineStr">
        <is>
          <t>Table Tennis</t>
        </is>
      </c>
      <c r="N86" t="inlineStr">
        <is>
          <t>Men</t>
        </is>
      </c>
      <c r="O86" t="inlineStr">
        <is>
          <t>Doubles</t>
        </is>
      </c>
      <c r="P86" t="inlineStr"/>
      <c r="Q86" t="inlineStr">
        <is>
          <t>Jeff Dang</t>
        </is>
      </c>
    </row>
    <row r="87">
      <c r="A87" t="inlineStr">
        <is>
          <t>GLA</t>
        </is>
      </c>
      <c r="B87" t="inlineStr">
        <is>
          <t>3570848</t>
        </is>
      </c>
      <c r="C87" t="inlineStr">
        <is>
          <t>90</t>
        </is>
      </c>
      <c r="D87" t="inlineStr">
        <is>
          <t>pending_approval</t>
        </is>
      </c>
      <c r="E87" t="b">
        <v>1</v>
      </c>
      <c r="F87">
        <f>IMAGE("https://chmeetings.blob.core.windows.net/846969/attachments/9nPE07rppUmkSggzO9ESg/47d06526-4fa5-4234-9c13-94ab1e6ca296.jpg")</f>
        <v/>
      </c>
      <c r="G87" t="inlineStr">
        <is>
          <t>Edwin Joshua</t>
        </is>
      </c>
      <c r="H87" t="inlineStr">
        <is>
          <t>Miciano</t>
        </is>
      </c>
      <c r="I87" t="inlineStr">
        <is>
          <t>Male</t>
        </is>
      </c>
      <c r="J87" t="n">
        <v>25</v>
      </c>
      <c r="K87" t="inlineStr">
        <is>
          <t>(818) 572-5802</t>
        </is>
      </c>
      <c r="L87" t="inlineStr">
        <is>
          <t>ejomiciano@gmail.com</t>
        </is>
      </c>
      <c r="M87" t="inlineStr">
        <is>
          <t>Track &amp; Field</t>
        </is>
      </c>
      <c r="N87" t="inlineStr">
        <is>
          <t>Mixed</t>
        </is>
      </c>
      <c r="O87" t="inlineStr">
        <is>
          <t>Team</t>
        </is>
      </c>
      <c r="P87" t="inlineStr"/>
      <c r="Q87" t="inlineStr"/>
    </row>
    <row r="88">
      <c r="A88" t="inlineStr">
        <is>
          <t>GLA</t>
        </is>
      </c>
      <c r="B88" t="inlineStr">
        <is>
          <t>3629598</t>
        </is>
      </c>
      <c r="C88" t="inlineStr">
        <is>
          <t>36</t>
        </is>
      </c>
      <c r="D88" t="inlineStr">
        <is>
          <t>pending_approval</t>
        </is>
      </c>
      <c r="E88" t="b">
        <v>1</v>
      </c>
      <c r="F88">
        <f>IMAGE("https://chmeetings.blob.core.windows.net/846969/attachments/BXJuEt43kmCzzwySYy0w/35a1da42-670c-46b3-a780-f0a182a01ab2.jpg")</f>
        <v/>
      </c>
      <c r="G88" t="inlineStr">
        <is>
          <t>Jason</t>
        </is>
      </c>
      <c r="H88" t="inlineStr">
        <is>
          <t>Ngo</t>
        </is>
      </c>
      <c r="I88" t="inlineStr">
        <is>
          <t>Male</t>
        </is>
      </c>
      <c r="J88" t="n">
        <v>18</v>
      </c>
      <c r="K88" t="inlineStr">
        <is>
          <t>(626) 382-9183</t>
        </is>
      </c>
      <c r="L88" t="inlineStr">
        <is>
          <t>ngojason99@gmail.com</t>
        </is>
      </c>
      <c r="M88" t="inlineStr">
        <is>
          <t>Track &amp; Field</t>
        </is>
      </c>
      <c r="N88" t="inlineStr">
        <is>
          <t>Mixed</t>
        </is>
      </c>
      <c r="O88" t="inlineStr">
        <is>
          <t>Team</t>
        </is>
      </c>
      <c r="P88" t="inlineStr"/>
      <c r="Q88" t="inlineStr"/>
    </row>
    <row r="89">
      <c r="A89" t="inlineStr">
        <is>
          <t>GLA</t>
        </is>
      </c>
      <c r="B89" t="inlineStr">
        <is>
          <t>3570848</t>
        </is>
      </c>
      <c r="C89" t="inlineStr">
        <is>
          <t>90</t>
        </is>
      </c>
      <c r="D89" t="inlineStr">
        <is>
          <t>pending_approval</t>
        </is>
      </c>
      <c r="E89" t="b">
        <v>1</v>
      </c>
      <c r="F89">
        <f>IMAGE("https://chmeetings.blob.core.windows.net/846969/attachments/9nPE07rppUmkSggzO9ESg/47d06526-4fa5-4234-9c13-94ab1e6ca296.jpg")</f>
        <v/>
      </c>
      <c r="G89" t="inlineStr">
        <is>
          <t>Edwin Joshua</t>
        </is>
      </c>
      <c r="H89" t="inlineStr">
        <is>
          <t>Miciano</t>
        </is>
      </c>
      <c r="I89" t="inlineStr">
        <is>
          <t>Male</t>
        </is>
      </c>
      <c r="J89" t="n">
        <v>25</v>
      </c>
      <c r="K89" t="inlineStr">
        <is>
          <t>(818) 572-5802</t>
        </is>
      </c>
      <c r="L89" t="inlineStr">
        <is>
          <t>ejomiciano@gmail.com</t>
        </is>
      </c>
      <c r="M89" t="inlineStr">
        <is>
          <t>Tug-of-war</t>
        </is>
      </c>
      <c r="N89" t="inlineStr">
        <is>
          <t>Mixed</t>
        </is>
      </c>
      <c r="O89" t="inlineStr">
        <is>
          <t>Team</t>
        </is>
      </c>
      <c r="P89" t="inlineStr"/>
      <c r="Q89" t="inlineStr"/>
    </row>
    <row r="90">
      <c r="A90" t="inlineStr">
        <is>
          <t>GLA</t>
        </is>
      </c>
      <c r="B90" t="inlineStr">
        <is>
          <t>3629646</t>
        </is>
      </c>
      <c r="C90" t="inlineStr">
        <is>
          <t>41</t>
        </is>
      </c>
      <c r="D90" t="inlineStr">
        <is>
          <t>pending</t>
        </is>
      </c>
      <c r="E90" t="b">
        <v>1</v>
      </c>
      <c r="F90">
        <f>IMAGE("https://chmeetings.blob.core.windows.net/846969/attachments/WfQk1w0b0O76DBIEeFaag/f6059547-2901-4815-b55d-66de1acd7f37.jpg")</f>
        <v/>
      </c>
      <c r="G90" t="inlineStr">
        <is>
          <t>Timothy</t>
        </is>
      </c>
      <c r="H90" t="inlineStr">
        <is>
          <t>Le</t>
        </is>
      </c>
      <c r="I90" t="inlineStr">
        <is>
          <t>Male</t>
        </is>
      </c>
      <c r="J90" t="n">
        <v>14</v>
      </c>
      <c r="K90" t="inlineStr">
        <is>
          <t>(747) 236-9493</t>
        </is>
      </c>
      <c r="L90" t="inlineStr">
        <is>
          <t>tle0168@mymail.lausd.net</t>
        </is>
      </c>
      <c r="M90" t="inlineStr">
        <is>
          <t>Volleyball</t>
        </is>
      </c>
      <c r="N90" t="inlineStr">
        <is>
          <t>Men</t>
        </is>
      </c>
      <c r="O90" t="inlineStr">
        <is>
          <t>Team</t>
        </is>
      </c>
      <c r="P90" t="inlineStr"/>
      <c r="Q90" t="inlineStr"/>
    </row>
    <row r="91">
      <c r="A91" t="inlineStr">
        <is>
          <t>GLA</t>
        </is>
      </c>
      <c r="B91" t="inlineStr">
        <is>
          <t>3570848</t>
        </is>
      </c>
      <c r="C91" t="inlineStr">
        <is>
          <t>90</t>
        </is>
      </c>
      <c r="D91" t="inlineStr">
        <is>
          <t>pending_approval</t>
        </is>
      </c>
      <c r="E91" t="b">
        <v>1</v>
      </c>
      <c r="F91">
        <f>IMAGE("https://chmeetings.blob.core.windows.net/846969/attachments/9nPE07rppUmkSggzO9ESg/47d06526-4fa5-4234-9c13-94ab1e6ca296.jpg")</f>
        <v/>
      </c>
      <c r="G91" t="inlineStr">
        <is>
          <t>Edwin Joshua</t>
        </is>
      </c>
      <c r="H91" t="inlineStr">
        <is>
          <t>Miciano</t>
        </is>
      </c>
      <c r="I91" t="inlineStr">
        <is>
          <t>Male</t>
        </is>
      </c>
      <c r="J91" t="n">
        <v>25</v>
      </c>
      <c r="K91" t="inlineStr">
        <is>
          <t>(818) 572-5802</t>
        </is>
      </c>
      <c r="L91" t="inlineStr">
        <is>
          <t>ejomiciano@gmail.com</t>
        </is>
      </c>
      <c r="M91" t="inlineStr">
        <is>
          <t>Volleyball</t>
        </is>
      </c>
      <c r="N91" t="inlineStr">
        <is>
          <t>Men</t>
        </is>
      </c>
      <c r="O91" t="inlineStr">
        <is>
          <t>Team</t>
        </is>
      </c>
      <c r="P91" t="inlineStr"/>
      <c r="Q91" t="inlineStr"/>
    </row>
    <row r="92">
      <c r="A92" t="inlineStr">
        <is>
          <t>GLA</t>
        </is>
      </c>
      <c r="B92" t="inlineStr">
        <is>
          <t>3615945</t>
        </is>
      </c>
      <c r="C92" t="inlineStr">
        <is>
          <t>38</t>
        </is>
      </c>
      <c r="D92" t="inlineStr">
        <is>
          <t>pending</t>
        </is>
      </c>
      <c r="E92" t="b">
        <v>1</v>
      </c>
      <c r="F92">
        <f>IMAGE("https://chmeetings.blob.core.windows.net/846969/attachments/m8ZIG9l0q0SQqgX5gZgIiw/bfdaebb3-efb9-4138-83ee-93fa773220cd.jpg")</f>
        <v/>
      </c>
      <c r="G92" t="inlineStr">
        <is>
          <t>Noah</t>
        </is>
      </c>
      <c r="H92" t="inlineStr">
        <is>
          <t>Nguyen</t>
        </is>
      </c>
      <c r="I92" t="inlineStr">
        <is>
          <t>Male</t>
        </is>
      </c>
      <c r="J92" t="n">
        <v>16</v>
      </c>
      <c r="K92" t="inlineStr">
        <is>
          <t>(818) 471-6453</t>
        </is>
      </c>
      <c r="L92" t="inlineStr">
        <is>
          <t>nnguyen0063@mymail.lausd.net</t>
        </is>
      </c>
      <c r="M92" t="inlineStr">
        <is>
          <t>Volleyball</t>
        </is>
      </c>
      <c r="N92" t="inlineStr">
        <is>
          <t>Men</t>
        </is>
      </c>
      <c r="O92" t="inlineStr">
        <is>
          <t>Team</t>
        </is>
      </c>
      <c r="P92" t="inlineStr"/>
      <c r="Q92" t="inlineStr"/>
    </row>
    <row r="93">
      <c r="A93" t="inlineStr">
        <is>
          <t>GLA</t>
        </is>
      </c>
      <c r="B93" t="inlineStr">
        <is>
          <t>4361929</t>
        </is>
      </c>
      <c r="C93" t="inlineStr">
        <is>
          <t>42</t>
        </is>
      </c>
      <c r="D93" t="inlineStr">
        <is>
          <t>pending</t>
        </is>
      </c>
      <c r="E93" t="b">
        <v>1</v>
      </c>
      <c r="F93">
        <f>IMAGE("https://chmeetings.blob.core.windows.net/846969/attachments/ZHwVcAbhikGrvFy7cbAgOw/65c7c3f4-46ed-4da0-b2f4-61e31c920b9f.jpg")</f>
        <v/>
      </c>
      <c r="G93" t="inlineStr">
        <is>
          <t>Wynson</t>
        </is>
      </c>
      <c r="H93" t="inlineStr">
        <is>
          <t>Nong</t>
        </is>
      </c>
      <c r="I93" t="inlineStr">
        <is>
          <t>Male</t>
        </is>
      </c>
      <c r="J93" t="n">
        <v>14</v>
      </c>
      <c r="K93" t="inlineStr">
        <is>
          <t>(626) 975-1445</t>
        </is>
      </c>
      <c r="L93" t="inlineStr">
        <is>
          <t>Nongwynson@gmail.com</t>
        </is>
      </c>
      <c r="M93" t="inlineStr">
        <is>
          <t>Volleyball</t>
        </is>
      </c>
      <c r="N93" t="inlineStr">
        <is>
          <t>Men</t>
        </is>
      </c>
      <c r="O93" t="inlineStr">
        <is>
          <t>Team</t>
        </is>
      </c>
      <c r="P93" t="inlineStr"/>
      <c r="Q93" t="inlineStr"/>
    </row>
    <row r="94">
      <c r="A94" t="inlineStr">
        <is>
          <t>GLA</t>
        </is>
      </c>
      <c r="B94" t="inlineStr">
        <is>
          <t>3615944</t>
        </is>
      </c>
      <c r="C94" t="inlineStr">
        <is>
          <t>91</t>
        </is>
      </c>
      <c r="D94" t="inlineStr">
        <is>
          <t>validated</t>
        </is>
      </c>
      <c r="E94" t="b">
        <v>1</v>
      </c>
      <c r="F94">
        <f>IMAGE("https://chmeetings.blob.core.windows.net/846969/attachments/rYVJ4qoKkKAROIF7jl8aw/b8c5c502-e207-415e-860d-5ced9831efc8.jpg")</f>
        <v/>
      </c>
      <c r="G94" t="inlineStr">
        <is>
          <t>Johnson</t>
        </is>
      </c>
      <c r="H94" t="inlineStr">
        <is>
          <t>Pham</t>
        </is>
      </c>
      <c r="I94" t="inlineStr">
        <is>
          <t>Male</t>
        </is>
      </c>
      <c r="J94" t="n">
        <v>28</v>
      </c>
      <c r="K94" t="inlineStr">
        <is>
          <t>(626) 940-6989</t>
        </is>
      </c>
      <c r="L94" t="inlineStr">
        <is>
          <t>Johnson.hpham98@gmail.com</t>
        </is>
      </c>
      <c r="M94" t="inlineStr">
        <is>
          <t>Volleyball</t>
        </is>
      </c>
      <c r="N94" t="inlineStr">
        <is>
          <t>Men</t>
        </is>
      </c>
      <c r="O94" t="inlineStr">
        <is>
          <t>Team</t>
        </is>
      </c>
      <c r="P94" t="inlineStr"/>
      <c r="Q94" t="inlineStr"/>
    </row>
    <row r="95">
      <c r="A95" t="inlineStr">
        <is>
          <t>GLA</t>
        </is>
      </c>
      <c r="B95" t="inlineStr">
        <is>
          <t>3622669</t>
        </is>
      </c>
      <c r="C95" t="inlineStr">
        <is>
          <t>35</t>
        </is>
      </c>
      <c r="D95" t="inlineStr">
        <is>
          <t>pending_approval</t>
        </is>
      </c>
      <c r="E95" t="b">
        <v>1</v>
      </c>
      <c r="F95">
        <f>IMAGE("https://chmeetings.blob.core.windows.net/846969/attachments/uJkCrgqNzkSEZSsvBrzxzg/dd65d621-0f48-4d4b-bceb-4bdde79b8168.jpg")</f>
        <v/>
      </c>
      <c r="G95" t="inlineStr">
        <is>
          <t>Brittany</t>
        </is>
      </c>
      <c r="H95" t="inlineStr">
        <is>
          <t>Huynh</t>
        </is>
      </c>
      <c r="I95" t="inlineStr">
        <is>
          <t>Female</t>
        </is>
      </c>
      <c r="J95" t="n">
        <v>28</v>
      </c>
      <c r="K95" t="inlineStr">
        <is>
          <t>(818) 681-6010</t>
        </is>
      </c>
      <c r="L95" t="inlineStr">
        <is>
          <t>brittany.huynh08@gmail.com</t>
        </is>
      </c>
      <c r="M95" t="inlineStr">
        <is>
          <t>Volleyball</t>
        </is>
      </c>
      <c r="N95" t="inlineStr">
        <is>
          <t>Women</t>
        </is>
      </c>
      <c r="O95" t="inlineStr">
        <is>
          <t>Team</t>
        </is>
      </c>
      <c r="P95" t="inlineStr"/>
      <c r="Q95" t="inlineStr"/>
    </row>
    <row r="96">
      <c r="A96" t="inlineStr">
        <is>
          <t>GLA</t>
        </is>
      </c>
      <c r="B96" t="inlineStr">
        <is>
          <t>3625818</t>
        </is>
      </c>
      <c r="C96" t="inlineStr">
        <is>
          <t>92</t>
        </is>
      </c>
      <c r="D96" t="inlineStr">
        <is>
          <t>validated</t>
        </is>
      </c>
      <c r="E96" t="b">
        <v>1</v>
      </c>
      <c r="F96">
        <f>IMAGE("https://chmeetings.blob.core.windows.net/846969/attachments/OSCmy82Y7Ua7YlAvx7rpoA/a5c208c0-832a-4714-9b87-ba8388868c91.jpg")</f>
        <v/>
      </c>
      <c r="G96" t="inlineStr">
        <is>
          <t>Kristine</t>
        </is>
      </c>
      <c r="H96" t="inlineStr">
        <is>
          <t>Pham</t>
        </is>
      </c>
      <c r="I96" t="inlineStr">
        <is>
          <t>Female</t>
        </is>
      </c>
      <c r="J96" t="n">
        <v>26</v>
      </c>
      <c r="K96" t="inlineStr">
        <is>
          <t>(626) 940-7093</t>
        </is>
      </c>
      <c r="L96" t="inlineStr">
        <is>
          <t>Kristinephammy@gmail.com</t>
        </is>
      </c>
      <c r="M96" t="inlineStr">
        <is>
          <t>Volleyball</t>
        </is>
      </c>
      <c r="N96" t="inlineStr">
        <is>
          <t>Women</t>
        </is>
      </c>
      <c r="O96" t="inlineStr">
        <is>
          <t>Team</t>
        </is>
      </c>
      <c r="P96" t="inlineStr"/>
      <c r="Q96" t="inlineStr"/>
    </row>
    <row r="97">
      <c r="A97" t="inlineStr">
        <is>
          <t>GLA</t>
        </is>
      </c>
      <c r="B97" t="inlineStr">
        <is>
          <t>4361936</t>
        </is>
      </c>
      <c r="C97" t="inlineStr">
        <is>
          <t>37</t>
        </is>
      </c>
      <c r="D97" t="inlineStr">
        <is>
          <t>pending</t>
        </is>
      </c>
      <c r="E97" t="b">
        <v>1</v>
      </c>
      <c r="F97">
        <f>IMAGE("https://chmeetings.blob.core.windows.net/846969/attachments/MiQBuOnZk0eapDUpawDkNA/5295deb6-c6cd-4150-b7b5-d64dd70083b6.jpg")</f>
        <v/>
      </c>
      <c r="G97" t="inlineStr">
        <is>
          <t>Jolie</t>
        </is>
      </c>
      <c r="H97" t="inlineStr">
        <is>
          <t>Wang</t>
        </is>
      </c>
      <c r="I97" t="inlineStr">
        <is>
          <t>Female</t>
        </is>
      </c>
      <c r="J97" t="n">
        <v>15</v>
      </c>
      <c r="K97" t="inlineStr">
        <is>
          <t>(626) 560-8082</t>
        </is>
      </c>
      <c r="L97" t="inlineStr">
        <is>
          <t>joliewang12@gmail.com</t>
        </is>
      </c>
      <c r="M97" t="inlineStr">
        <is>
          <t>Volleyball</t>
        </is>
      </c>
      <c r="N97" t="inlineStr">
        <is>
          <t>Women</t>
        </is>
      </c>
      <c r="O97" t="inlineStr">
        <is>
          <t>Team</t>
        </is>
      </c>
      <c r="P97" t="inlineStr"/>
      <c r="Q97" t="inlineStr"/>
    </row>
    <row r="98">
      <c r="A98" t="inlineStr">
        <is>
          <t>LBC</t>
        </is>
      </c>
      <c r="B98" t="inlineStr">
        <is>
          <t>3476642</t>
        </is>
      </c>
      <c r="C98" t="inlineStr">
        <is>
          <t>69</t>
        </is>
      </c>
      <c r="D98" t="inlineStr">
        <is>
          <t>validated</t>
        </is>
      </c>
      <c r="E98" t="b">
        <v>1</v>
      </c>
      <c r="F98">
        <f>IMAGE("https://chmeetings.blob.core.windows.net/846969/attachments/ywIVZ4GlH0WBlvelRjagw/64ae18f7-a8c2-40c7-94ad-0f5b09d44ccc.jpg")</f>
        <v/>
      </c>
      <c r="G98" t="inlineStr">
        <is>
          <t>Annette</t>
        </is>
      </c>
      <c r="H98" t="inlineStr">
        <is>
          <t>Nguyen</t>
        </is>
      </c>
      <c r="I98" t="inlineStr">
        <is>
          <t>Female</t>
        </is>
      </c>
      <c r="J98" t="n">
        <v>22</v>
      </c>
      <c r="K98" t="inlineStr">
        <is>
          <t>(424) 309-4723</t>
        </is>
      </c>
      <c r="L98" t="inlineStr">
        <is>
          <t>annettenguyen18@gmail.com</t>
        </is>
      </c>
      <c r="M98" t="inlineStr">
        <is>
          <t>Bible Challenge</t>
        </is>
      </c>
      <c r="N98" t="inlineStr">
        <is>
          <t>Mixed</t>
        </is>
      </c>
      <c r="O98" t="inlineStr">
        <is>
          <t>Team</t>
        </is>
      </c>
      <c r="P98" t="inlineStr"/>
      <c r="Q98" t="inlineStr"/>
    </row>
    <row r="99">
      <c r="A99" t="inlineStr">
        <is>
          <t>LBC</t>
        </is>
      </c>
      <c r="B99" t="inlineStr">
        <is>
          <t>3476642</t>
        </is>
      </c>
      <c r="C99" t="inlineStr">
        <is>
          <t>69</t>
        </is>
      </c>
      <c r="D99" t="inlineStr">
        <is>
          <t>validated</t>
        </is>
      </c>
      <c r="E99" t="b">
        <v>1</v>
      </c>
      <c r="F99">
        <f>IMAGE("https://chmeetings.blob.core.windows.net/846969/attachments/ywIVZ4GlH0WBlvelRjagw/64ae18f7-a8c2-40c7-94ad-0f5b09d44ccc.jpg")</f>
        <v/>
      </c>
      <c r="G99" t="inlineStr">
        <is>
          <t>Annette</t>
        </is>
      </c>
      <c r="H99" t="inlineStr">
        <is>
          <t>Nguyen</t>
        </is>
      </c>
      <c r="I99" t="inlineStr">
        <is>
          <t>Female</t>
        </is>
      </c>
      <c r="J99" t="n">
        <v>22</v>
      </c>
      <c r="K99" t="inlineStr">
        <is>
          <t>(424) 309-4723</t>
        </is>
      </c>
      <c r="L99" t="inlineStr">
        <is>
          <t>annettenguyen18@gmail.com</t>
        </is>
      </c>
      <c r="M99" t="inlineStr">
        <is>
          <t>Table Tennis</t>
        </is>
      </c>
      <c r="N99" t="inlineStr">
        <is>
          <t>Women</t>
        </is>
      </c>
      <c r="O99" t="inlineStr">
        <is>
          <t>Doubles</t>
        </is>
      </c>
      <c r="P99" t="inlineStr"/>
      <c r="Q99" t="inlineStr"/>
    </row>
    <row r="100">
      <c r="A100" t="inlineStr">
        <is>
          <t>MWC</t>
        </is>
      </c>
      <c r="B100" t="inlineStr">
        <is>
          <t>4363690</t>
        </is>
      </c>
      <c r="C100" t="inlineStr">
        <is>
          <t>117</t>
        </is>
      </c>
      <c r="D100" t="inlineStr">
        <is>
          <t>validated</t>
        </is>
      </c>
      <c r="E100" t="b">
        <v>1</v>
      </c>
      <c r="F100">
        <f>IMAGE("https://chmeetings.blob.core.windows.net/846969/attachments/TK02JE6UvkS6L5y3RVMZpw/1c35dc11-101f-473e-9f3b-e6cf53c7a11e.jpg")</f>
        <v/>
      </c>
      <c r="G100" t="inlineStr">
        <is>
          <t>Bao</t>
        </is>
      </c>
      <c r="H100" t="inlineStr">
        <is>
          <t>Bui</t>
        </is>
      </c>
      <c r="I100" t="inlineStr">
        <is>
          <t>Male</t>
        </is>
      </c>
      <c r="J100" t="n">
        <v>18</v>
      </c>
      <c r="K100" t="inlineStr">
        <is>
          <t>(657) 410-9810</t>
        </is>
      </c>
      <c r="L100" t="inlineStr">
        <is>
          <t>baothegamer@gmail.com</t>
        </is>
      </c>
      <c r="M100" t="inlineStr">
        <is>
          <t>Basketball</t>
        </is>
      </c>
      <c r="N100" t="inlineStr">
        <is>
          <t>Mixed</t>
        </is>
      </c>
      <c r="O100" t="inlineStr">
        <is>
          <t>Team</t>
        </is>
      </c>
      <c r="P100" t="inlineStr"/>
      <c r="Q100" t="inlineStr"/>
    </row>
    <row r="101">
      <c r="A101" t="inlineStr">
        <is>
          <t>MWC</t>
        </is>
      </c>
      <c r="B101" t="inlineStr">
        <is>
          <t>3635881</t>
        </is>
      </c>
      <c r="C101" t="inlineStr">
        <is>
          <t>122</t>
        </is>
      </c>
      <c r="D101" t="inlineStr">
        <is>
          <t>validated</t>
        </is>
      </c>
      <c r="E101" t="b">
        <v>1</v>
      </c>
      <c r="F101">
        <f>IMAGE("https://chmeetings.blob.core.windows.net/846969/attachments/57qlraZWF0iXfi6BDk0Aw/944388fc-08b9-4ebf-9b0d-b4c91ec7c4a2.jpg")</f>
        <v/>
      </c>
      <c r="G101" t="inlineStr">
        <is>
          <t>Minh</t>
        </is>
      </c>
      <c r="H101" t="inlineStr">
        <is>
          <t>Nguyen</t>
        </is>
      </c>
      <c r="I101" t="inlineStr">
        <is>
          <t>Male</t>
        </is>
      </c>
      <c r="J101" t="n">
        <v>19</v>
      </c>
      <c r="K101" t="inlineStr">
        <is>
          <t>(657) 758-1102</t>
        </is>
      </c>
      <c r="L101" t="inlineStr">
        <is>
          <t>minhngyn07@gmail.com</t>
        </is>
      </c>
      <c r="M101" t="inlineStr">
        <is>
          <t>Basketball</t>
        </is>
      </c>
      <c r="N101" t="inlineStr">
        <is>
          <t>Mixed</t>
        </is>
      </c>
      <c r="O101" t="inlineStr">
        <is>
          <t>Team</t>
        </is>
      </c>
      <c r="P101" t="inlineStr"/>
      <c r="Q101" t="inlineStr"/>
    </row>
    <row r="102">
      <c r="A102" t="inlineStr">
        <is>
          <t>MWC</t>
        </is>
      </c>
      <c r="B102" t="inlineStr">
        <is>
          <t>4363692</t>
        </is>
      </c>
      <c r="C102" t="inlineStr">
        <is>
          <t>119</t>
        </is>
      </c>
      <c r="D102" t="inlineStr">
        <is>
          <t>validated</t>
        </is>
      </c>
      <c r="E102" t="b">
        <v>1</v>
      </c>
      <c r="F102">
        <f>IMAGE("https://chmeetings.blob.core.windows.net/846969/attachments/6LKiSjJdRkWdjj89jvYwA/c73829bb-5793-49aa-862f-26c7d3b3b76b.jpg")</f>
        <v/>
      </c>
      <c r="G102" t="inlineStr">
        <is>
          <t>Clayton</t>
        </is>
      </c>
      <c r="H102" t="inlineStr">
        <is>
          <t>Nguyen</t>
        </is>
      </c>
      <c r="I102" t="inlineStr">
        <is>
          <t>Male</t>
        </is>
      </c>
      <c r="J102" t="n">
        <v>18</v>
      </c>
      <c r="K102" t="inlineStr">
        <is>
          <t>17147507541</t>
        </is>
      </c>
      <c r="L102" t="inlineStr">
        <is>
          <t>pfahdm@gmail.com</t>
        </is>
      </c>
      <c r="M102" t="inlineStr">
        <is>
          <t>Bible Challenge</t>
        </is>
      </c>
      <c r="N102" t="inlineStr">
        <is>
          <t>Mixed</t>
        </is>
      </c>
      <c r="O102" t="inlineStr">
        <is>
          <t>Team</t>
        </is>
      </c>
      <c r="P102" t="inlineStr"/>
      <c r="Q102" t="inlineStr"/>
    </row>
    <row r="103">
      <c r="A103" t="inlineStr">
        <is>
          <t>MWC</t>
        </is>
      </c>
      <c r="B103" t="inlineStr">
        <is>
          <t>3476634</t>
        </is>
      </c>
      <c r="C103" t="inlineStr">
        <is>
          <t>120</t>
        </is>
      </c>
      <c r="D103" t="inlineStr">
        <is>
          <t>validated</t>
        </is>
      </c>
      <c r="E103" t="b">
        <v>1</v>
      </c>
      <c r="F103">
        <f>IMAGE("https://chmeetings.blob.core.windows.net/846969/attachments/DMJy6bIivkC21E56G9lGBg/f5bc2a18-7216-40ce-8bb1-3a3b35e0bf59.jpg")</f>
        <v/>
      </c>
      <c r="G103" t="inlineStr">
        <is>
          <t>John</t>
        </is>
      </c>
      <c r="H103" t="inlineStr">
        <is>
          <t>Lu</t>
        </is>
      </c>
      <c r="I103" t="inlineStr">
        <is>
          <t>Male</t>
        </is>
      </c>
      <c r="J103" t="n">
        <v>42</v>
      </c>
      <c r="K103" t="inlineStr">
        <is>
          <t>(657) 351-9362</t>
        </is>
      </c>
      <c r="L103" t="inlineStr">
        <is>
          <t>johnlu608@gmail.com</t>
        </is>
      </c>
      <c r="M103" t="inlineStr">
        <is>
          <t>Pickleball 35+</t>
        </is>
      </c>
      <c r="N103" t="inlineStr">
        <is>
          <t>Men</t>
        </is>
      </c>
      <c r="O103" t="inlineStr">
        <is>
          <t>Singles</t>
        </is>
      </c>
      <c r="P103" t="inlineStr"/>
      <c r="Q103" t="inlineStr"/>
    </row>
    <row r="104">
      <c r="A104" t="inlineStr">
        <is>
          <t>MWC</t>
        </is>
      </c>
      <c r="B104" t="inlineStr">
        <is>
          <t>4363690</t>
        </is>
      </c>
      <c r="C104" t="inlineStr">
        <is>
          <t>117</t>
        </is>
      </c>
      <c r="D104" t="inlineStr">
        <is>
          <t>validated</t>
        </is>
      </c>
      <c r="E104" t="b">
        <v>1</v>
      </c>
      <c r="F104">
        <f>IMAGE("https://chmeetings.blob.core.windows.net/846969/attachments/TK02JE6UvkS6L5y3RVMZpw/1c35dc11-101f-473e-9f3b-e6cf53c7a11e.jpg")</f>
        <v/>
      </c>
      <c r="G104" t="inlineStr">
        <is>
          <t>Bao</t>
        </is>
      </c>
      <c r="H104" t="inlineStr">
        <is>
          <t>Bui</t>
        </is>
      </c>
      <c r="I104" t="inlineStr">
        <is>
          <t>Male</t>
        </is>
      </c>
      <c r="J104" t="n">
        <v>18</v>
      </c>
      <c r="K104" t="inlineStr">
        <is>
          <t>(657) 410-9810</t>
        </is>
      </c>
      <c r="L104" t="inlineStr">
        <is>
          <t>baothegamer@gmail.com</t>
        </is>
      </c>
      <c r="M104" t="inlineStr">
        <is>
          <t>Soccer - Coed Exhibition</t>
        </is>
      </c>
      <c r="N104" t="inlineStr">
        <is>
          <t>Mixed</t>
        </is>
      </c>
      <c r="O104" t="inlineStr">
        <is>
          <t>Team</t>
        </is>
      </c>
      <c r="P104" t="inlineStr"/>
      <c r="Q104" t="inlineStr"/>
    </row>
    <row r="105">
      <c r="A105" t="inlineStr">
        <is>
          <t>MWC</t>
        </is>
      </c>
      <c r="B105" t="inlineStr">
        <is>
          <t>4363691</t>
        </is>
      </c>
      <c r="C105" t="inlineStr">
        <is>
          <t>118</t>
        </is>
      </c>
      <c r="D105" t="inlineStr">
        <is>
          <t>pending</t>
        </is>
      </c>
      <c r="E105" t="b">
        <v>1</v>
      </c>
      <c r="F105">
        <f>IMAGE("https://chmeetings.blob.core.windows.net/846969/attachments/LZK1UKiU9ka1qz181LoFHw/c787d8f9-2fa0-4b66-9472-2970b24b4acd.jpg")</f>
        <v/>
      </c>
      <c r="G105" t="inlineStr">
        <is>
          <t>Benjamin</t>
        </is>
      </c>
      <c r="H105" t="inlineStr">
        <is>
          <t>Bui</t>
        </is>
      </c>
      <c r="I105" t="inlineStr">
        <is>
          <t>Male</t>
        </is>
      </c>
      <c r="J105" t="n">
        <v>15</v>
      </c>
      <c r="K105" t="inlineStr">
        <is>
          <t>17142449022</t>
        </is>
      </c>
      <c r="L105" t="inlineStr">
        <is>
          <t>Buibenjamine@gmail.com</t>
        </is>
      </c>
      <c r="M105" t="inlineStr">
        <is>
          <t>Soccer - Coed Exhibition</t>
        </is>
      </c>
      <c r="N105" t="inlineStr">
        <is>
          <t>Mixed</t>
        </is>
      </c>
      <c r="O105" t="inlineStr">
        <is>
          <t>Team</t>
        </is>
      </c>
      <c r="P105" t="inlineStr"/>
      <c r="Q105" t="inlineStr"/>
    </row>
    <row r="106">
      <c r="A106" t="inlineStr">
        <is>
          <t>MWC</t>
        </is>
      </c>
      <c r="B106" t="inlineStr">
        <is>
          <t>3476634</t>
        </is>
      </c>
      <c r="C106" t="inlineStr">
        <is>
          <t>120</t>
        </is>
      </c>
      <c r="D106" t="inlineStr">
        <is>
          <t>validated</t>
        </is>
      </c>
      <c r="E106" t="b">
        <v>1</v>
      </c>
      <c r="F106">
        <f>IMAGE("https://chmeetings.blob.core.windows.net/846969/attachments/DMJy6bIivkC21E56G9lGBg/f5bc2a18-7216-40ce-8bb1-3a3b35e0bf59.jpg")</f>
        <v/>
      </c>
      <c r="G106" t="inlineStr">
        <is>
          <t>John</t>
        </is>
      </c>
      <c r="H106" t="inlineStr">
        <is>
          <t>Lu</t>
        </is>
      </c>
      <c r="I106" t="inlineStr">
        <is>
          <t>Male</t>
        </is>
      </c>
      <c r="J106" t="n">
        <v>42</v>
      </c>
      <c r="K106" t="inlineStr">
        <is>
          <t>(657) 351-9362</t>
        </is>
      </c>
      <c r="L106" t="inlineStr">
        <is>
          <t>johnlu608@gmail.com</t>
        </is>
      </c>
      <c r="M106" t="inlineStr">
        <is>
          <t>Table Tennis 35+</t>
        </is>
      </c>
      <c r="N106" t="inlineStr">
        <is>
          <t>Men</t>
        </is>
      </c>
      <c r="O106" t="inlineStr">
        <is>
          <t>Singles</t>
        </is>
      </c>
      <c r="P106" t="inlineStr"/>
      <c r="Q106" t="inlineStr"/>
    </row>
    <row r="107">
      <c r="A107" t="inlineStr">
        <is>
          <t>MWC</t>
        </is>
      </c>
      <c r="B107" t="inlineStr">
        <is>
          <t>4363691</t>
        </is>
      </c>
      <c r="C107" t="inlineStr">
        <is>
          <t>118</t>
        </is>
      </c>
      <c r="D107" t="inlineStr">
        <is>
          <t>pending</t>
        </is>
      </c>
      <c r="E107" t="b">
        <v>1</v>
      </c>
      <c r="F107">
        <f>IMAGE("https://chmeetings.blob.core.windows.net/846969/attachments/LZK1UKiU9ka1qz181LoFHw/c787d8f9-2fa0-4b66-9472-2970b24b4acd.jpg")</f>
        <v/>
      </c>
      <c r="G107" t="inlineStr">
        <is>
          <t>Benjamin</t>
        </is>
      </c>
      <c r="H107" t="inlineStr">
        <is>
          <t>Bui</t>
        </is>
      </c>
      <c r="I107" t="inlineStr">
        <is>
          <t>Male</t>
        </is>
      </c>
      <c r="J107" t="n">
        <v>15</v>
      </c>
      <c r="K107" t="inlineStr">
        <is>
          <t>17142449022</t>
        </is>
      </c>
      <c r="L107" t="inlineStr">
        <is>
          <t>Buibenjamine@gmail.com</t>
        </is>
      </c>
      <c r="M107" t="inlineStr">
        <is>
          <t>Track &amp; Field</t>
        </is>
      </c>
      <c r="N107" t="inlineStr">
        <is>
          <t>Mixed</t>
        </is>
      </c>
      <c r="O107" t="inlineStr">
        <is>
          <t>Team</t>
        </is>
      </c>
      <c r="P107" t="inlineStr"/>
      <c r="Q107" t="inlineStr"/>
    </row>
    <row r="108">
      <c r="A108" t="inlineStr">
        <is>
          <t>MWC</t>
        </is>
      </c>
      <c r="B108" t="inlineStr">
        <is>
          <t>3476634</t>
        </is>
      </c>
      <c r="C108" t="inlineStr">
        <is>
          <t>120</t>
        </is>
      </c>
      <c r="D108" t="inlineStr">
        <is>
          <t>validated</t>
        </is>
      </c>
      <c r="E108" t="b">
        <v>1</v>
      </c>
      <c r="F108">
        <f>IMAGE("https://chmeetings.blob.core.windows.net/846969/attachments/DMJy6bIivkC21E56G9lGBg/f5bc2a18-7216-40ce-8bb1-3a3b35e0bf59.jpg")</f>
        <v/>
      </c>
      <c r="G108" t="inlineStr">
        <is>
          <t>John</t>
        </is>
      </c>
      <c r="H108" t="inlineStr">
        <is>
          <t>Lu</t>
        </is>
      </c>
      <c r="I108" t="inlineStr">
        <is>
          <t>Male</t>
        </is>
      </c>
      <c r="J108" t="n">
        <v>42</v>
      </c>
      <c r="K108" t="inlineStr">
        <is>
          <t>(657) 351-9362</t>
        </is>
      </c>
      <c r="L108" t="inlineStr">
        <is>
          <t>johnlu608@gmail.com</t>
        </is>
      </c>
      <c r="M108" t="inlineStr">
        <is>
          <t>Tug-of-war</t>
        </is>
      </c>
      <c r="N108" t="inlineStr">
        <is>
          <t>Mixed</t>
        </is>
      </c>
      <c r="O108" t="inlineStr">
        <is>
          <t>Team</t>
        </is>
      </c>
      <c r="P108" t="inlineStr"/>
      <c r="Q108" t="inlineStr"/>
    </row>
    <row r="109">
      <c r="A109" t="inlineStr">
        <is>
          <t>MWC</t>
        </is>
      </c>
      <c r="B109" t="inlineStr">
        <is>
          <t>3634402</t>
        </is>
      </c>
      <c r="C109" t="inlineStr">
        <is>
          <t>121</t>
        </is>
      </c>
      <c r="D109" t="inlineStr">
        <is>
          <t>validated</t>
        </is>
      </c>
      <c r="E109" t="b">
        <v>1</v>
      </c>
      <c r="F109">
        <f>IMAGE("https://chmeetings.blob.core.windows.net/846969/attachments/qwaDZjf0aNW9jVVcIEXA/99f4374c-673a-4df1-b72e-ef135b7bf532.jpg")</f>
        <v/>
      </c>
      <c r="G109" t="inlineStr">
        <is>
          <t>Mai</t>
        </is>
      </c>
      <c r="H109" t="inlineStr">
        <is>
          <t>Nguyen</t>
        </is>
      </c>
      <c r="I109" t="inlineStr">
        <is>
          <t>Female</t>
        </is>
      </c>
      <c r="J109" t="n">
        <v>21</v>
      </c>
      <c r="K109" t="inlineStr">
        <is>
          <t>(714) 902-8040</t>
        </is>
      </c>
      <c r="L109" t="inlineStr">
        <is>
          <t>mainguyen300105@gmail.com</t>
        </is>
      </c>
      <c r="M109" t="inlineStr">
        <is>
          <t>Tug-of-war</t>
        </is>
      </c>
      <c r="N109" t="inlineStr">
        <is>
          <t>Mixed</t>
        </is>
      </c>
      <c r="O109" t="inlineStr">
        <is>
          <t>Team</t>
        </is>
      </c>
      <c r="P109" t="inlineStr"/>
      <c r="Q109" t="inlineStr"/>
    </row>
    <row r="110">
      <c r="A110" t="inlineStr">
        <is>
          <t>MWC</t>
        </is>
      </c>
      <c r="B110" t="inlineStr">
        <is>
          <t>4363690</t>
        </is>
      </c>
      <c r="C110" t="inlineStr">
        <is>
          <t>117</t>
        </is>
      </c>
      <c r="D110" t="inlineStr">
        <is>
          <t>validated</t>
        </is>
      </c>
      <c r="E110" t="b">
        <v>1</v>
      </c>
      <c r="F110">
        <f>IMAGE("https://chmeetings.blob.core.windows.net/846969/attachments/TK02JE6UvkS6L5y3RVMZpw/1c35dc11-101f-473e-9f3b-e6cf53c7a11e.jpg")</f>
        <v/>
      </c>
      <c r="G110" t="inlineStr">
        <is>
          <t>Bao</t>
        </is>
      </c>
      <c r="H110" t="inlineStr">
        <is>
          <t>Bui</t>
        </is>
      </c>
      <c r="I110" t="inlineStr">
        <is>
          <t>Male</t>
        </is>
      </c>
      <c r="J110" t="n">
        <v>18</v>
      </c>
      <c r="K110" t="inlineStr">
        <is>
          <t>(657) 410-9810</t>
        </is>
      </c>
      <c r="L110" t="inlineStr">
        <is>
          <t>baothegamer@gmail.com</t>
        </is>
      </c>
      <c r="M110" t="inlineStr">
        <is>
          <t>Volleyball</t>
        </is>
      </c>
      <c r="N110" t="inlineStr">
        <is>
          <t>Men</t>
        </is>
      </c>
      <c r="O110" t="inlineStr">
        <is>
          <t>Team</t>
        </is>
      </c>
      <c r="P110" t="inlineStr"/>
      <c r="Q110" t="inlineStr"/>
    </row>
    <row r="111">
      <c r="A111" t="inlineStr">
        <is>
          <t>MWC</t>
        </is>
      </c>
      <c r="B111" t="inlineStr">
        <is>
          <t>4363691</t>
        </is>
      </c>
      <c r="C111" t="inlineStr">
        <is>
          <t>118</t>
        </is>
      </c>
      <c r="D111" t="inlineStr">
        <is>
          <t>pending</t>
        </is>
      </c>
      <c r="E111" t="b">
        <v>1</v>
      </c>
      <c r="F111">
        <f>IMAGE("https://chmeetings.blob.core.windows.net/846969/attachments/LZK1UKiU9ka1qz181LoFHw/c787d8f9-2fa0-4b66-9472-2970b24b4acd.jpg")</f>
        <v/>
      </c>
      <c r="G111" t="inlineStr">
        <is>
          <t>Benjamin</t>
        </is>
      </c>
      <c r="H111" t="inlineStr">
        <is>
          <t>Bui</t>
        </is>
      </c>
      <c r="I111" t="inlineStr">
        <is>
          <t>Male</t>
        </is>
      </c>
      <c r="J111" t="n">
        <v>15</v>
      </c>
      <c r="K111" t="inlineStr">
        <is>
          <t>17142449022</t>
        </is>
      </c>
      <c r="L111" t="inlineStr">
        <is>
          <t>Buibenjamine@gmail.com</t>
        </is>
      </c>
      <c r="M111" t="inlineStr">
        <is>
          <t>Volleyball</t>
        </is>
      </c>
      <c r="N111" t="inlineStr">
        <is>
          <t>Men</t>
        </is>
      </c>
      <c r="O111" t="inlineStr">
        <is>
          <t>Team</t>
        </is>
      </c>
      <c r="P111" t="inlineStr"/>
      <c r="Q111" t="inlineStr"/>
    </row>
    <row r="112">
      <c r="A112" t="inlineStr">
        <is>
          <t>MWC</t>
        </is>
      </c>
      <c r="B112" t="inlineStr">
        <is>
          <t>3635881</t>
        </is>
      </c>
      <c r="C112" t="inlineStr">
        <is>
          <t>122</t>
        </is>
      </c>
      <c r="D112" t="inlineStr">
        <is>
          <t>validated</t>
        </is>
      </c>
      <c r="E112" t="b">
        <v>1</v>
      </c>
      <c r="F112">
        <f>IMAGE("https://chmeetings.blob.core.windows.net/846969/attachments/57qlraZWF0iXfi6BDk0Aw/944388fc-08b9-4ebf-9b0d-b4c91ec7c4a2.jpg")</f>
        <v/>
      </c>
      <c r="G112" t="inlineStr">
        <is>
          <t>Minh</t>
        </is>
      </c>
      <c r="H112" t="inlineStr">
        <is>
          <t>Nguyen</t>
        </is>
      </c>
      <c r="I112" t="inlineStr">
        <is>
          <t>Male</t>
        </is>
      </c>
      <c r="J112" t="n">
        <v>19</v>
      </c>
      <c r="K112" t="inlineStr">
        <is>
          <t>(657) 758-1102</t>
        </is>
      </c>
      <c r="L112" t="inlineStr">
        <is>
          <t>minhngyn07@gmail.com</t>
        </is>
      </c>
      <c r="M112" t="inlineStr">
        <is>
          <t>Volleyball</t>
        </is>
      </c>
      <c r="N112" t="inlineStr">
        <is>
          <t>Men</t>
        </is>
      </c>
      <c r="O112" t="inlineStr">
        <is>
          <t>Team</t>
        </is>
      </c>
      <c r="P112" t="inlineStr"/>
      <c r="Q112" t="inlineStr"/>
    </row>
    <row r="113">
      <c r="A113" t="inlineStr">
        <is>
          <t>MWC</t>
        </is>
      </c>
      <c r="B113" t="inlineStr">
        <is>
          <t>3634402</t>
        </is>
      </c>
      <c r="C113" t="inlineStr">
        <is>
          <t>121</t>
        </is>
      </c>
      <c r="D113" t="inlineStr">
        <is>
          <t>validated</t>
        </is>
      </c>
      <c r="E113" t="b">
        <v>1</v>
      </c>
      <c r="F113">
        <f>IMAGE("https://chmeetings.blob.core.windows.net/846969/attachments/qwaDZjf0aNW9jVVcIEXA/99f4374c-673a-4df1-b72e-ef135b7bf532.jpg")</f>
        <v/>
      </c>
      <c r="G113" t="inlineStr">
        <is>
          <t>Mai</t>
        </is>
      </c>
      <c r="H113" t="inlineStr">
        <is>
          <t>Nguyen</t>
        </is>
      </c>
      <c r="I113" t="inlineStr">
        <is>
          <t>Female</t>
        </is>
      </c>
      <c r="J113" t="n">
        <v>21</v>
      </c>
      <c r="K113" t="inlineStr">
        <is>
          <t>(714) 902-8040</t>
        </is>
      </c>
      <c r="L113" t="inlineStr">
        <is>
          <t>mainguyen300105@gmail.com</t>
        </is>
      </c>
      <c r="M113" t="inlineStr">
        <is>
          <t>Volleyball</t>
        </is>
      </c>
      <c r="N113" t="inlineStr">
        <is>
          <t>Women</t>
        </is>
      </c>
      <c r="O113" t="inlineStr">
        <is>
          <t>Team</t>
        </is>
      </c>
      <c r="P113" t="inlineStr"/>
      <c r="Q113" t="inlineStr"/>
    </row>
    <row r="114">
      <c r="A114" t="inlineStr">
        <is>
          <t>NHC</t>
        </is>
      </c>
      <c r="B114" t="inlineStr">
        <is>
          <t>3570849</t>
        </is>
      </c>
      <c r="C114" t="inlineStr">
        <is>
          <t>32</t>
        </is>
      </c>
      <c r="D114" t="inlineStr">
        <is>
          <t>validated</t>
        </is>
      </c>
      <c r="E114" t="b">
        <v>1</v>
      </c>
      <c r="F114">
        <f>IMAGE("https://chmeetings.blob.core.windows.net/846969/attachments/ImZkxkYEeJVq4IgCqawg/acea4bd7-c650-4527-8991-aa7a30072191.jpg")</f>
        <v/>
      </c>
      <c r="G114" t="inlineStr">
        <is>
          <t>Faith</t>
        </is>
      </c>
      <c r="H114" t="inlineStr">
        <is>
          <t>Nguyen</t>
        </is>
      </c>
      <c r="I114" t="inlineStr">
        <is>
          <t>Female</t>
        </is>
      </c>
      <c r="J114" t="n">
        <v>21</v>
      </c>
      <c r="K114" t="inlineStr">
        <is>
          <t>(818) 364-1995</t>
        </is>
      </c>
      <c r="L114" t="inlineStr">
        <is>
          <t>faithdnguyen@gmail.com</t>
        </is>
      </c>
      <c r="M114" t="inlineStr">
        <is>
          <t>Bible Challenge</t>
        </is>
      </c>
      <c r="N114" t="inlineStr">
        <is>
          <t>Mixed</t>
        </is>
      </c>
      <c r="O114" t="inlineStr">
        <is>
          <t>Team</t>
        </is>
      </c>
      <c r="P114" t="inlineStr"/>
      <c r="Q114" t="inlineStr"/>
    </row>
    <row r="115">
      <c r="A115" t="inlineStr">
        <is>
          <t>NHC</t>
        </is>
      </c>
      <c r="B115" t="inlineStr">
        <is>
          <t>3630107</t>
        </is>
      </c>
      <c r="C115" t="inlineStr">
        <is>
          <t>33</t>
        </is>
      </c>
      <c r="D115" t="inlineStr">
        <is>
          <t>validated</t>
        </is>
      </c>
      <c r="E115" t="b">
        <v>1</v>
      </c>
      <c r="F115">
        <f>IMAGE("https://chmeetings.blob.core.windows.net/846969/attachments/B2AeM61EiaenvZFE5GJA/7474f516-6576-427d-817f-9e334bd24a36.jpg")</f>
        <v/>
      </c>
      <c r="G115" t="inlineStr">
        <is>
          <t>Nhi</t>
        </is>
      </c>
      <c r="H115" t="inlineStr">
        <is>
          <t>Nguyen</t>
        </is>
      </c>
      <c r="I115" t="inlineStr">
        <is>
          <t>Female</t>
        </is>
      </c>
      <c r="J115" t="n">
        <v>22</v>
      </c>
      <c r="K115" t="inlineStr">
        <is>
          <t>(818) 205-6576</t>
        </is>
      </c>
      <c r="L115" t="inlineStr">
        <is>
          <t>nhikneenguyen@gmail.com</t>
        </is>
      </c>
      <c r="M115" t="inlineStr">
        <is>
          <t>Bible Challenge</t>
        </is>
      </c>
      <c r="N115" t="inlineStr">
        <is>
          <t>Mixed</t>
        </is>
      </c>
      <c r="O115" t="inlineStr">
        <is>
          <t>Team</t>
        </is>
      </c>
      <c r="P115" t="inlineStr"/>
      <c r="Q115" t="inlineStr"/>
    </row>
    <row r="116">
      <c r="A116" t="inlineStr">
        <is>
          <t>NHC</t>
        </is>
      </c>
      <c r="B116" t="inlineStr">
        <is>
          <t>3570849</t>
        </is>
      </c>
      <c r="C116" t="inlineStr">
        <is>
          <t>32</t>
        </is>
      </c>
      <c r="D116" t="inlineStr">
        <is>
          <t>validated</t>
        </is>
      </c>
      <c r="E116" t="b">
        <v>1</v>
      </c>
      <c r="F116">
        <f>IMAGE("https://chmeetings.blob.core.windows.net/846969/attachments/ImZkxkYEeJVq4IgCqawg/acea4bd7-c650-4527-8991-aa7a30072191.jpg")</f>
        <v/>
      </c>
      <c r="G116" t="inlineStr">
        <is>
          <t>Faith</t>
        </is>
      </c>
      <c r="H116" t="inlineStr">
        <is>
          <t>Nguyen</t>
        </is>
      </c>
      <c r="I116" t="inlineStr">
        <is>
          <t>Female</t>
        </is>
      </c>
      <c r="J116" t="n">
        <v>21</v>
      </c>
      <c r="K116" t="inlineStr">
        <is>
          <t>(818) 364-1995</t>
        </is>
      </c>
      <c r="L116" t="inlineStr">
        <is>
          <t>faithdnguyen@gmail.com</t>
        </is>
      </c>
      <c r="M116" t="inlineStr">
        <is>
          <t>Track &amp; Field</t>
        </is>
      </c>
      <c r="N116" t="inlineStr">
        <is>
          <t>Mixed</t>
        </is>
      </c>
      <c r="O116" t="inlineStr">
        <is>
          <t>Team</t>
        </is>
      </c>
      <c r="P116" t="inlineStr"/>
      <c r="Q116" t="inlineStr"/>
    </row>
    <row r="117">
      <c r="A117" t="inlineStr">
        <is>
          <t>NHC</t>
        </is>
      </c>
      <c r="B117" t="inlineStr">
        <is>
          <t>3570849</t>
        </is>
      </c>
      <c r="C117" t="inlineStr">
        <is>
          <t>32</t>
        </is>
      </c>
      <c r="D117" t="inlineStr">
        <is>
          <t>validated</t>
        </is>
      </c>
      <c r="E117" t="b">
        <v>1</v>
      </c>
      <c r="F117">
        <f>IMAGE("https://chmeetings.blob.core.windows.net/846969/attachments/ImZkxkYEeJVq4IgCqawg/acea4bd7-c650-4527-8991-aa7a30072191.jpg")</f>
        <v/>
      </c>
      <c r="G117" t="inlineStr">
        <is>
          <t>Faith</t>
        </is>
      </c>
      <c r="H117" t="inlineStr">
        <is>
          <t>Nguyen</t>
        </is>
      </c>
      <c r="I117" t="inlineStr">
        <is>
          <t>Female</t>
        </is>
      </c>
      <c r="J117" t="n">
        <v>21</v>
      </c>
      <c r="K117" t="inlineStr">
        <is>
          <t>(818) 364-1995</t>
        </is>
      </c>
      <c r="L117" t="inlineStr">
        <is>
          <t>faithdnguyen@gmail.com</t>
        </is>
      </c>
      <c r="M117" t="inlineStr">
        <is>
          <t>Tug-of-war</t>
        </is>
      </c>
      <c r="N117" t="inlineStr">
        <is>
          <t>Mixed</t>
        </is>
      </c>
      <c r="O117" t="inlineStr">
        <is>
          <t>Team</t>
        </is>
      </c>
      <c r="P117" t="inlineStr"/>
      <c r="Q117" t="inlineStr"/>
    </row>
    <row r="118">
      <c r="A118" t="inlineStr">
        <is>
          <t>NHC</t>
        </is>
      </c>
      <c r="B118" t="inlineStr">
        <is>
          <t>3630107</t>
        </is>
      </c>
      <c r="C118" t="inlineStr">
        <is>
          <t>33</t>
        </is>
      </c>
      <c r="D118" t="inlineStr">
        <is>
          <t>validated</t>
        </is>
      </c>
      <c r="E118" t="b">
        <v>1</v>
      </c>
      <c r="F118">
        <f>IMAGE("https://chmeetings.blob.core.windows.net/846969/attachments/B2AeM61EiaenvZFE5GJA/7474f516-6576-427d-817f-9e334bd24a36.jpg")</f>
        <v/>
      </c>
      <c r="G118" t="inlineStr">
        <is>
          <t>Nhi</t>
        </is>
      </c>
      <c r="H118" t="inlineStr">
        <is>
          <t>Nguyen</t>
        </is>
      </c>
      <c r="I118" t="inlineStr">
        <is>
          <t>Female</t>
        </is>
      </c>
      <c r="J118" t="n">
        <v>22</v>
      </c>
      <c r="K118" t="inlineStr">
        <is>
          <t>(818) 205-6576</t>
        </is>
      </c>
      <c r="L118" t="inlineStr">
        <is>
          <t>nhikneenguyen@gmail.com</t>
        </is>
      </c>
      <c r="M118" t="inlineStr">
        <is>
          <t>Tug-of-war</t>
        </is>
      </c>
      <c r="N118" t="inlineStr">
        <is>
          <t>Mixed</t>
        </is>
      </c>
      <c r="O118" t="inlineStr">
        <is>
          <t>Team</t>
        </is>
      </c>
      <c r="P118" t="inlineStr"/>
      <c r="Q118" t="inlineStr"/>
    </row>
    <row r="119">
      <c r="A119" t="inlineStr">
        <is>
          <t>NHC</t>
        </is>
      </c>
      <c r="B119" t="inlineStr">
        <is>
          <t>3570849</t>
        </is>
      </c>
      <c r="C119" t="inlineStr">
        <is>
          <t>32</t>
        </is>
      </c>
      <c r="D119" t="inlineStr">
        <is>
          <t>validated</t>
        </is>
      </c>
      <c r="E119" t="b">
        <v>1</v>
      </c>
      <c r="F119">
        <f>IMAGE("https://chmeetings.blob.core.windows.net/846969/attachments/ImZkxkYEeJVq4IgCqawg/acea4bd7-c650-4527-8991-aa7a30072191.jpg")</f>
        <v/>
      </c>
      <c r="G119" t="inlineStr">
        <is>
          <t>Faith</t>
        </is>
      </c>
      <c r="H119" t="inlineStr">
        <is>
          <t>Nguyen</t>
        </is>
      </c>
      <c r="I119" t="inlineStr">
        <is>
          <t>Female</t>
        </is>
      </c>
      <c r="J119" t="n">
        <v>21</v>
      </c>
      <c r="K119" t="inlineStr">
        <is>
          <t>(818) 364-1995</t>
        </is>
      </c>
      <c r="L119" t="inlineStr">
        <is>
          <t>faithdnguyen@gmail.com</t>
        </is>
      </c>
      <c r="M119" t="inlineStr">
        <is>
          <t>Volleyball</t>
        </is>
      </c>
      <c r="N119" t="inlineStr">
        <is>
          <t>Women</t>
        </is>
      </c>
      <c r="O119" t="inlineStr">
        <is>
          <t>Team</t>
        </is>
      </c>
      <c r="P119" t="inlineStr"/>
      <c r="Q119" t="inlineStr"/>
    </row>
    <row r="120">
      <c r="A120" t="inlineStr">
        <is>
          <t>NHC</t>
        </is>
      </c>
      <c r="B120" t="inlineStr">
        <is>
          <t>3630107</t>
        </is>
      </c>
      <c r="C120" t="inlineStr">
        <is>
          <t>33</t>
        </is>
      </c>
      <c r="D120" t="inlineStr">
        <is>
          <t>validated</t>
        </is>
      </c>
      <c r="E120" t="b">
        <v>1</v>
      </c>
      <c r="F120">
        <f>IMAGE("https://chmeetings.blob.core.windows.net/846969/attachments/B2AeM61EiaenvZFE5GJA/7474f516-6576-427d-817f-9e334bd24a36.jpg")</f>
        <v/>
      </c>
      <c r="G120" t="inlineStr">
        <is>
          <t>Nhi</t>
        </is>
      </c>
      <c r="H120" t="inlineStr">
        <is>
          <t>Nguyen</t>
        </is>
      </c>
      <c r="I120" t="inlineStr">
        <is>
          <t>Female</t>
        </is>
      </c>
      <c r="J120" t="n">
        <v>22</v>
      </c>
      <c r="K120" t="inlineStr">
        <is>
          <t>(818) 205-6576</t>
        </is>
      </c>
      <c r="L120" t="inlineStr">
        <is>
          <t>nhikneenguyen@gmail.com</t>
        </is>
      </c>
      <c r="M120" t="inlineStr">
        <is>
          <t>Volleyball</t>
        </is>
      </c>
      <c r="N120" t="inlineStr">
        <is>
          <t>Women</t>
        </is>
      </c>
      <c r="O120" t="inlineStr">
        <is>
          <t>Team</t>
        </is>
      </c>
      <c r="P120" t="inlineStr"/>
      <c r="Q120" t="inlineStr"/>
    </row>
    <row r="121">
      <c r="A121" t="inlineStr">
        <is>
          <t>NHC</t>
        </is>
      </c>
      <c r="B121" t="inlineStr">
        <is>
          <t>4361931</t>
        </is>
      </c>
      <c r="C121" t="inlineStr">
        <is>
          <t>34</t>
        </is>
      </c>
      <c r="D121" t="inlineStr">
        <is>
          <t>validated</t>
        </is>
      </c>
      <c r="E121" t="b">
        <v>1</v>
      </c>
      <c r="F121">
        <f>IMAGE("https://chmeetings.blob.core.windows.net/846969/attachments/F4w3vSczI06e8w0dsmofYA/e9ff8cac-4f75-4fdf-9684-72ad97ca13f2.jpg")</f>
        <v/>
      </c>
      <c r="G121" t="inlineStr">
        <is>
          <t>Trinity</t>
        </is>
      </c>
      <c r="H121" t="inlineStr">
        <is>
          <t>Nguyen</t>
        </is>
      </c>
      <c r="I121" t="inlineStr">
        <is>
          <t>Female</t>
        </is>
      </c>
      <c r="J121" t="n">
        <v>19</v>
      </c>
      <c r="K121" t="inlineStr">
        <is>
          <t>(818) 521-0702</t>
        </is>
      </c>
      <c r="L121" t="inlineStr">
        <is>
          <t>trinitynguyen819@gmail.com</t>
        </is>
      </c>
      <c r="M121" t="inlineStr">
        <is>
          <t>Volleyball</t>
        </is>
      </c>
      <c r="N121" t="inlineStr">
        <is>
          <t>Women</t>
        </is>
      </c>
      <c r="O121" t="inlineStr">
        <is>
          <t>Team</t>
        </is>
      </c>
      <c r="P121" t="inlineStr"/>
      <c r="Q121" t="inlineStr"/>
    </row>
    <row r="122">
      <c r="A122" t="inlineStr">
        <is>
          <t>OCB</t>
        </is>
      </c>
      <c r="B122" t="inlineStr">
        <is>
          <t>3635883</t>
        </is>
      </c>
      <c r="C122" t="inlineStr">
        <is>
          <t>129</t>
        </is>
      </c>
      <c r="D122" t="inlineStr">
        <is>
          <t>validated</t>
        </is>
      </c>
      <c r="E122" t="b">
        <v>1</v>
      </c>
      <c r="F122">
        <f>IMAGE("https://chmeetings.blob.core.windows.net/846969/attachments/YsOBYBV0q0OlqZ15fv698g/6b2979fd-e678-4960-90b4-480f52cec039.jpg")</f>
        <v/>
      </c>
      <c r="G122" t="inlineStr">
        <is>
          <t>Henry</t>
        </is>
      </c>
      <c r="H122" t="inlineStr">
        <is>
          <t>Nguyen</t>
        </is>
      </c>
      <c r="I122" t="inlineStr">
        <is>
          <t>Male</t>
        </is>
      </c>
      <c r="J122" t="n">
        <v>25</v>
      </c>
      <c r="K122" t="inlineStr">
        <is>
          <t>(714) 975-0037</t>
        </is>
      </c>
      <c r="L122" t="inlineStr">
        <is>
          <t>Henrynguyen600@gmail.com</t>
        </is>
      </c>
      <c r="M122" t="inlineStr">
        <is>
          <t>Basketball</t>
        </is>
      </c>
      <c r="N122" t="inlineStr">
        <is>
          <t>Mixed</t>
        </is>
      </c>
      <c r="O122" t="inlineStr">
        <is>
          <t>Team</t>
        </is>
      </c>
      <c r="P122" t="inlineStr"/>
      <c r="Q122" t="inlineStr"/>
    </row>
    <row r="123">
      <c r="A123" t="inlineStr">
        <is>
          <t>OCB</t>
        </is>
      </c>
      <c r="B123" t="inlineStr">
        <is>
          <t>4363703</t>
        </is>
      </c>
      <c r="C123" t="inlineStr">
        <is>
          <t>131</t>
        </is>
      </c>
      <c r="D123" t="inlineStr">
        <is>
          <t>validated</t>
        </is>
      </c>
      <c r="E123" t="b">
        <v>1</v>
      </c>
      <c r="F123">
        <f>IMAGE("https://chmeetings.blob.core.windows.net/846969/attachments/EigWUMvqekGE2PheSEoGA/88f80066-edee-461c-9027-925435a96465.jpg")</f>
        <v/>
      </c>
      <c r="G123" t="inlineStr">
        <is>
          <t>Tim</t>
        </is>
      </c>
      <c r="H123" t="inlineStr">
        <is>
          <t>Nguyen</t>
        </is>
      </c>
      <c r="I123" t="inlineStr">
        <is>
          <t>Male</t>
        </is>
      </c>
      <c r="J123" t="n">
        <v>34</v>
      </c>
      <c r="K123" t="inlineStr">
        <is>
          <t>(714) 837-9071</t>
        </is>
      </c>
      <c r="L123" t="inlineStr">
        <is>
          <t>timnguy3n92@gmail.com</t>
        </is>
      </c>
      <c r="M123" t="inlineStr">
        <is>
          <t>Basketball</t>
        </is>
      </c>
      <c r="N123" t="inlineStr">
        <is>
          <t>Mixed</t>
        </is>
      </c>
      <c r="O123" t="inlineStr">
        <is>
          <t>Team</t>
        </is>
      </c>
      <c r="P123" t="inlineStr"/>
      <c r="Q123" t="inlineStr"/>
    </row>
    <row r="124">
      <c r="A124" t="inlineStr">
        <is>
          <t>OCB</t>
        </is>
      </c>
      <c r="B124" t="inlineStr">
        <is>
          <t>3636635</t>
        </is>
      </c>
      <c r="C124" t="inlineStr">
        <is>
          <t>128</t>
        </is>
      </c>
      <c r="D124" t="inlineStr">
        <is>
          <t>validated</t>
        </is>
      </c>
      <c r="E124" t="b">
        <v>1</v>
      </c>
      <c r="F124">
        <f>IMAGE("https://chmeetings.blob.core.windows.net/846969/attachments/PHv7q7eqB0acQ6YgdARw9w/0ce255e9-5e3c-41e3-ad0f-edad75922343.jpg")</f>
        <v/>
      </c>
      <c r="G124" t="inlineStr">
        <is>
          <t>Aaron</t>
        </is>
      </c>
      <c r="H124" t="inlineStr">
        <is>
          <t>Rivera</t>
        </is>
      </c>
      <c r="I124" t="inlineStr">
        <is>
          <t>Male</t>
        </is>
      </c>
      <c r="J124" t="n">
        <v>18</v>
      </c>
      <c r="K124" t="inlineStr">
        <is>
          <t>(714) 724-9928</t>
        </is>
      </c>
      <c r="L124" t="inlineStr">
        <is>
          <t>rivera.aaroncal@gmail.com</t>
        </is>
      </c>
      <c r="M124" t="inlineStr">
        <is>
          <t>Basketball</t>
        </is>
      </c>
      <c r="N124" t="inlineStr">
        <is>
          <t>Mixed</t>
        </is>
      </c>
      <c r="O124" t="inlineStr">
        <is>
          <t>Team</t>
        </is>
      </c>
      <c r="P124" t="inlineStr"/>
      <c r="Q124" t="inlineStr"/>
    </row>
    <row r="125">
      <c r="A125" t="inlineStr">
        <is>
          <t>OCB</t>
        </is>
      </c>
      <c r="B125" t="inlineStr">
        <is>
          <t>3635919</t>
        </is>
      </c>
      <c r="C125" t="inlineStr">
        <is>
          <t>130</t>
        </is>
      </c>
      <c r="D125" t="inlineStr">
        <is>
          <t>validated</t>
        </is>
      </c>
      <c r="E125" t="b">
        <v>1</v>
      </c>
      <c r="F125">
        <f>IMAGE("https://chmeetings.blob.core.windows.net/846969/attachments/sIqShIAxUS1oysyKko75A/75ceb615-5536-4313-99df-341fc9681c38.jpg")</f>
        <v/>
      </c>
      <c r="G125" t="inlineStr">
        <is>
          <t>Jack</t>
        </is>
      </c>
      <c r="H125" t="inlineStr">
        <is>
          <t>Rivera</t>
        </is>
      </c>
      <c r="I125" t="inlineStr">
        <is>
          <t>Male</t>
        </is>
      </c>
      <c r="J125" t="n">
        <v>20</v>
      </c>
      <c r="K125" t="inlineStr">
        <is>
          <t>(714) 234-7973</t>
        </is>
      </c>
      <c r="L125" t="inlineStr">
        <is>
          <t>jack.rivera0427@gmail.com</t>
        </is>
      </c>
      <c r="M125" t="inlineStr">
        <is>
          <t>Basketball</t>
        </is>
      </c>
      <c r="N125" t="inlineStr">
        <is>
          <t>Mixed</t>
        </is>
      </c>
      <c r="O125" t="inlineStr">
        <is>
          <t>Team</t>
        </is>
      </c>
      <c r="P125" t="inlineStr"/>
      <c r="Q125" t="inlineStr"/>
    </row>
    <row r="126">
      <c r="A126" t="inlineStr">
        <is>
          <t>OCB</t>
        </is>
      </c>
      <c r="B126" t="inlineStr">
        <is>
          <t>3635883</t>
        </is>
      </c>
      <c r="C126" t="inlineStr">
        <is>
          <t>129</t>
        </is>
      </c>
      <c r="D126" t="inlineStr">
        <is>
          <t>validated</t>
        </is>
      </c>
      <c r="E126" t="b">
        <v>1</v>
      </c>
      <c r="F126">
        <f>IMAGE("https://chmeetings.blob.core.windows.net/846969/attachments/YsOBYBV0q0OlqZ15fv698g/6b2979fd-e678-4960-90b4-480f52cec039.jpg")</f>
        <v/>
      </c>
      <c r="G126" t="inlineStr">
        <is>
          <t>Henry</t>
        </is>
      </c>
      <c r="H126" t="inlineStr">
        <is>
          <t>Nguyen</t>
        </is>
      </c>
      <c r="I126" t="inlineStr">
        <is>
          <t>Male</t>
        </is>
      </c>
      <c r="J126" t="n">
        <v>25</v>
      </c>
      <c r="K126" t="inlineStr">
        <is>
          <t>(714) 975-0037</t>
        </is>
      </c>
      <c r="L126" t="inlineStr">
        <is>
          <t>Henrynguyen600@gmail.com</t>
        </is>
      </c>
      <c r="M126" t="inlineStr">
        <is>
          <t>Track &amp; Field</t>
        </is>
      </c>
      <c r="N126" t="inlineStr">
        <is>
          <t>Mixed</t>
        </is>
      </c>
      <c r="O126" t="inlineStr">
        <is>
          <t>Team</t>
        </is>
      </c>
      <c r="P126" t="inlineStr"/>
      <c r="Q126" t="inlineStr"/>
    </row>
    <row r="127">
      <c r="A127" t="inlineStr">
        <is>
          <t>OCB</t>
        </is>
      </c>
      <c r="B127" t="inlineStr">
        <is>
          <t>3635883</t>
        </is>
      </c>
      <c r="C127" t="inlineStr">
        <is>
          <t>129</t>
        </is>
      </c>
      <c r="D127" t="inlineStr">
        <is>
          <t>validated</t>
        </is>
      </c>
      <c r="E127" t="b">
        <v>1</v>
      </c>
      <c r="F127">
        <f>IMAGE("https://chmeetings.blob.core.windows.net/846969/attachments/YsOBYBV0q0OlqZ15fv698g/6b2979fd-e678-4960-90b4-480f52cec039.jpg")</f>
        <v/>
      </c>
      <c r="G127" t="inlineStr">
        <is>
          <t>Henry</t>
        </is>
      </c>
      <c r="H127" t="inlineStr">
        <is>
          <t>Nguyen</t>
        </is>
      </c>
      <c r="I127" t="inlineStr">
        <is>
          <t>Male</t>
        </is>
      </c>
      <c r="J127" t="n">
        <v>25</v>
      </c>
      <c r="K127" t="inlineStr">
        <is>
          <t>(714) 975-0037</t>
        </is>
      </c>
      <c r="L127" t="inlineStr">
        <is>
          <t>Henrynguyen600@gmail.com</t>
        </is>
      </c>
      <c r="M127" t="inlineStr">
        <is>
          <t>Tug-of-war</t>
        </is>
      </c>
      <c r="N127" t="inlineStr">
        <is>
          <t>Mixed</t>
        </is>
      </c>
      <c r="O127" t="inlineStr">
        <is>
          <t>Team</t>
        </is>
      </c>
      <c r="P127" t="inlineStr"/>
      <c r="Q127" t="inlineStr"/>
    </row>
    <row r="128">
      <c r="A128" t="inlineStr">
        <is>
          <t>ORN</t>
        </is>
      </c>
      <c r="B128" t="inlineStr">
        <is>
          <t>3618799</t>
        </is>
      </c>
      <c r="C128" t="inlineStr">
        <is>
          <t>13</t>
        </is>
      </c>
      <c r="D128" t="inlineStr">
        <is>
          <t>validated</t>
        </is>
      </c>
      <c r="E128" t="b">
        <v>1</v>
      </c>
      <c r="F128">
        <f>IMAGE("https://chmeetings.blob.core.windows.net/846969/attachments/qbqvDQkHBEucuVEztvSrzw/56dc6343-e74d-4af7-adbe-37f226c0bbfc.jpg")</f>
        <v/>
      </c>
      <c r="G128" t="inlineStr">
        <is>
          <t>Benjamin</t>
        </is>
      </c>
      <c r="H128" t="inlineStr">
        <is>
          <t>Nguyen</t>
        </is>
      </c>
      <c r="I128" t="inlineStr">
        <is>
          <t>Male</t>
        </is>
      </c>
      <c r="J128" t="n">
        <v>24</v>
      </c>
      <c r="K128" t="inlineStr">
        <is>
          <t>(714) 833-6740</t>
        </is>
      </c>
      <c r="L128" t="inlineStr">
        <is>
          <t>Benjinguyen02@gmail.com</t>
        </is>
      </c>
      <c r="M128" t="inlineStr">
        <is>
          <t>Badminton</t>
        </is>
      </c>
      <c r="N128" t="inlineStr">
        <is>
          <t>Mixed</t>
        </is>
      </c>
      <c r="O128" t="inlineStr">
        <is>
          <t>Doubles</t>
        </is>
      </c>
      <c r="P128" t="inlineStr"/>
      <c r="Q128" t="inlineStr"/>
    </row>
    <row r="129">
      <c r="A129" t="inlineStr">
        <is>
          <t>ORN</t>
        </is>
      </c>
      <c r="B129" t="inlineStr">
        <is>
          <t>3623915</t>
        </is>
      </c>
      <c r="C129" t="inlineStr">
        <is>
          <t>14</t>
        </is>
      </c>
      <c r="D129" t="inlineStr">
        <is>
          <t>validated</t>
        </is>
      </c>
      <c r="E129" t="b">
        <v>1</v>
      </c>
      <c r="F129">
        <f>IMAGE("https://chmeetings.blob.core.windows.net/846969/attachments/RDfjAEN4WE6KJSSC92ZKCg/f27465ca-e92d-4ab4-9ea2-547cf465ba89.jpg")</f>
        <v/>
      </c>
      <c r="G129" t="inlineStr">
        <is>
          <t>Jason</t>
        </is>
      </c>
      <c r="H129" t="inlineStr">
        <is>
          <t>Djapri</t>
        </is>
      </c>
      <c r="I129" t="inlineStr">
        <is>
          <t>Male</t>
        </is>
      </c>
      <c r="J129" t="n">
        <v>32</v>
      </c>
      <c r="K129" t="inlineStr">
        <is>
          <t>(310) 422-6128</t>
        </is>
      </c>
      <c r="L129" t="inlineStr">
        <is>
          <t>djaprijason@yahoo.com</t>
        </is>
      </c>
      <c r="M129" t="inlineStr">
        <is>
          <t>Basketball</t>
        </is>
      </c>
      <c r="N129" t="inlineStr">
        <is>
          <t>Mixed</t>
        </is>
      </c>
      <c r="O129" t="inlineStr">
        <is>
          <t>Team</t>
        </is>
      </c>
      <c r="P129" t="inlineStr"/>
      <c r="Q129" t="inlineStr"/>
    </row>
    <row r="130">
      <c r="A130" t="inlineStr">
        <is>
          <t>ORN</t>
        </is>
      </c>
      <c r="B130" t="inlineStr">
        <is>
          <t>3623157</t>
        </is>
      </c>
      <c r="C130" t="inlineStr">
        <is>
          <t>79</t>
        </is>
      </c>
      <c r="D130" t="inlineStr">
        <is>
          <t>validated</t>
        </is>
      </c>
      <c r="E130" t="b">
        <v>1</v>
      </c>
      <c r="F130">
        <f>IMAGE("https://chmeetings.blob.core.windows.net/846969/attachments/HzlweDuVSE6PkzH7lPPQ/b05978ca-bb0d-4025-8e8b-e4bcb1a862e7.jpg")</f>
        <v/>
      </c>
      <c r="G130" t="inlineStr">
        <is>
          <t>Johnny</t>
        </is>
      </c>
      <c r="H130" t="inlineStr">
        <is>
          <t>Ho</t>
        </is>
      </c>
      <c r="I130" t="inlineStr">
        <is>
          <t>Male</t>
        </is>
      </c>
      <c r="J130" t="n">
        <v>18</v>
      </c>
      <c r="K130" t="inlineStr">
        <is>
          <t>(951) 573-3752</t>
        </is>
      </c>
      <c r="L130" t="inlineStr">
        <is>
          <t>hodoanhongquan2024@gmail.com</t>
        </is>
      </c>
      <c r="M130" t="inlineStr">
        <is>
          <t>Basketball</t>
        </is>
      </c>
      <c r="N130" t="inlineStr">
        <is>
          <t>Mixed</t>
        </is>
      </c>
      <c r="O130" t="inlineStr">
        <is>
          <t>Team</t>
        </is>
      </c>
      <c r="P130" t="inlineStr"/>
      <c r="Q130" t="inlineStr"/>
    </row>
    <row r="131">
      <c r="A131" t="inlineStr">
        <is>
          <t>ORN</t>
        </is>
      </c>
      <c r="B131" t="inlineStr">
        <is>
          <t>3618799</t>
        </is>
      </c>
      <c r="C131" t="inlineStr">
        <is>
          <t>13</t>
        </is>
      </c>
      <c r="D131" t="inlineStr">
        <is>
          <t>validated</t>
        </is>
      </c>
      <c r="E131" t="b">
        <v>1</v>
      </c>
      <c r="F131">
        <f>IMAGE("https://chmeetings.blob.core.windows.net/846969/attachments/qbqvDQkHBEucuVEztvSrzw/56dc6343-e74d-4af7-adbe-37f226c0bbfc.jpg")</f>
        <v/>
      </c>
      <c r="G131" t="inlineStr">
        <is>
          <t>Benjamin</t>
        </is>
      </c>
      <c r="H131" t="inlineStr">
        <is>
          <t>Nguyen</t>
        </is>
      </c>
      <c r="I131" t="inlineStr">
        <is>
          <t>Male</t>
        </is>
      </c>
      <c r="J131" t="n">
        <v>24</v>
      </c>
      <c r="K131" t="inlineStr">
        <is>
          <t>(714) 833-6740</t>
        </is>
      </c>
      <c r="L131" t="inlineStr">
        <is>
          <t>Benjinguyen02@gmail.com</t>
        </is>
      </c>
      <c r="M131" t="inlineStr">
        <is>
          <t>Basketball</t>
        </is>
      </c>
      <c r="N131" t="inlineStr">
        <is>
          <t>Mixed</t>
        </is>
      </c>
      <c r="O131" t="inlineStr">
        <is>
          <t>Team</t>
        </is>
      </c>
      <c r="P131" t="inlineStr"/>
      <c r="Q131" t="inlineStr"/>
    </row>
    <row r="132">
      <c r="A132" t="inlineStr">
        <is>
          <t>ORN</t>
        </is>
      </c>
      <c r="B132" t="inlineStr">
        <is>
          <t>3505206</t>
        </is>
      </c>
      <c r="C132" t="inlineStr">
        <is>
          <t>16</t>
        </is>
      </c>
      <c r="D132" t="inlineStr">
        <is>
          <t>validated</t>
        </is>
      </c>
      <c r="E132" t="b">
        <v>1</v>
      </c>
      <c r="F132">
        <f>IMAGE("https://chmeetings.blob.core.windows.net/846969/attachments/3veswZCVtEs6fg25uiOYg/14d4ef4d-d959-4d64-ae0d-e552b50141f9.jpg")</f>
        <v/>
      </c>
      <c r="G132" t="inlineStr">
        <is>
          <t>Matthew</t>
        </is>
      </c>
      <c r="H132" t="inlineStr">
        <is>
          <t>Nguyen</t>
        </is>
      </c>
      <c r="I132" t="inlineStr">
        <is>
          <t>Male</t>
        </is>
      </c>
      <c r="J132" t="n">
        <v>31</v>
      </c>
      <c r="K132" t="inlineStr">
        <is>
          <t>(714) 391-5045</t>
        </is>
      </c>
      <c r="L132" t="inlineStr">
        <is>
          <t>matthewlan1995@yahoo.com</t>
        </is>
      </c>
      <c r="M132" t="inlineStr">
        <is>
          <t>Basketball</t>
        </is>
      </c>
      <c r="N132" t="inlineStr">
        <is>
          <t>Mixed</t>
        </is>
      </c>
      <c r="O132" t="inlineStr">
        <is>
          <t>Team</t>
        </is>
      </c>
      <c r="P132" t="inlineStr"/>
      <c r="Q132" t="inlineStr"/>
    </row>
    <row r="133">
      <c r="A133" t="inlineStr">
        <is>
          <t>ORN</t>
        </is>
      </c>
      <c r="B133" t="inlineStr">
        <is>
          <t>3623151</t>
        </is>
      </c>
      <c r="C133" t="inlineStr">
        <is>
          <t>15</t>
        </is>
      </c>
      <c r="D133" t="inlineStr">
        <is>
          <t>validated</t>
        </is>
      </c>
      <c r="E133" t="b">
        <v>1</v>
      </c>
      <c r="F133">
        <f>IMAGE("https://chmeetings.blob.core.windows.net/846969/attachments/z7xCROYqU640Hcj39vXnA/7df9ecde-a535-47b7-b28e-c4595f88700e.jpg")</f>
        <v/>
      </c>
      <c r="G133" t="inlineStr">
        <is>
          <t>Luke</t>
        </is>
      </c>
      <c r="H133" t="inlineStr">
        <is>
          <t>Tran</t>
        </is>
      </c>
      <c r="I133" t="inlineStr">
        <is>
          <t>Male</t>
        </is>
      </c>
      <c r="J133" t="n">
        <v>19</v>
      </c>
      <c r="K133" t="inlineStr">
        <is>
          <t>(714) 696-2217</t>
        </is>
      </c>
      <c r="L133" t="inlineStr">
        <is>
          <t>ltttran01@gmail.com</t>
        </is>
      </c>
      <c r="M133" t="inlineStr">
        <is>
          <t>Basketball</t>
        </is>
      </c>
      <c r="N133" t="inlineStr">
        <is>
          <t>Mixed</t>
        </is>
      </c>
      <c r="O133" t="inlineStr">
        <is>
          <t>Team</t>
        </is>
      </c>
      <c r="P133" t="inlineStr"/>
      <c r="Q133" t="inlineStr"/>
    </row>
    <row r="134">
      <c r="A134" t="inlineStr">
        <is>
          <t>ORN</t>
        </is>
      </c>
      <c r="B134" t="inlineStr">
        <is>
          <t>3636312</t>
        </is>
      </c>
      <c r="C134" t="inlineStr">
        <is>
          <t>18</t>
        </is>
      </c>
      <c r="D134" t="inlineStr">
        <is>
          <t>validated</t>
        </is>
      </c>
      <c r="E134" t="b">
        <v>1</v>
      </c>
      <c r="F134">
        <f>IMAGE("https://chmeetings.blob.core.windows.net/846969/attachments/rmWCxWcMEGG5rXmhOlu0w/0885f487-e712-429a-b0e2-a388a96de779.jpg")</f>
        <v/>
      </c>
      <c r="G134" t="inlineStr">
        <is>
          <t>Patrick</t>
        </is>
      </c>
      <c r="H134" t="inlineStr">
        <is>
          <t>Ho</t>
        </is>
      </c>
      <c r="I134" t="inlineStr">
        <is>
          <t>Male</t>
        </is>
      </c>
      <c r="J134" t="n">
        <v>20</v>
      </c>
      <c r="K134" t="inlineStr">
        <is>
          <t>(840) 265-5989</t>
        </is>
      </c>
      <c r="L134" t="inlineStr">
        <is>
          <t>quangforwork105@gmail.com</t>
        </is>
      </c>
      <c r="M134" t="inlineStr">
        <is>
          <t>Bible Challenge</t>
        </is>
      </c>
      <c r="N134" t="inlineStr">
        <is>
          <t>Mixed</t>
        </is>
      </c>
      <c r="O134" t="inlineStr">
        <is>
          <t>Team</t>
        </is>
      </c>
      <c r="P134" t="inlineStr"/>
      <c r="Q134" t="inlineStr"/>
    </row>
    <row r="135">
      <c r="A135" t="inlineStr">
        <is>
          <t>ORN</t>
        </is>
      </c>
      <c r="B135" t="inlineStr">
        <is>
          <t>3623157</t>
        </is>
      </c>
      <c r="C135" t="inlineStr">
        <is>
          <t>79</t>
        </is>
      </c>
      <c r="D135" t="inlineStr">
        <is>
          <t>validated</t>
        </is>
      </c>
      <c r="E135" t="b">
        <v>1</v>
      </c>
      <c r="F135">
        <f>IMAGE("https://chmeetings.blob.core.windows.net/846969/attachments/HzlweDuVSE6PkzH7lPPQ/b05978ca-bb0d-4025-8e8b-e4bcb1a862e7.jpg")</f>
        <v/>
      </c>
      <c r="G135" t="inlineStr">
        <is>
          <t>Johnny</t>
        </is>
      </c>
      <c r="H135" t="inlineStr">
        <is>
          <t>Ho</t>
        </is>
      </c>
      <c r="I135" t="inlineStr">
        <is>
          <t>Male</t>
        </is>
      </c>
      <c r="J135" t="n">
        <v>18</v>
      </c>
      <c r="K135" t="inlineStr">
        <is>
          <t>(951) 573-3752</t>
        </is>
      </c>
      <c r="L135" t="inlineStr">
        <is>
          <t>hodoanhongquan2024@gmail.com</t>
        </is>
      </c>
      <c r="M135" t="inlineStr">
        <is>
          <t>Soccer - Coed Exhibition</t>
        </is>
      </c>
      <c r="N135" t="inlineStr">
        <is>
          <t>Mixed</t>
        </is>
      </c>
      <c r="O135" t="inlineStr">
        <is>
          <t>Team</t>
        </is>
      </c>
      <c r="P135" t="inlineStr"/>
      <c r="Q135" t="inlineStr"/>
    </row>
    <row r="136">
      <c r="A136" t="inlineStr">
        <is>
          <t>ORN</t>
        </is>
      </c>
      <c r="B136" t="inlineStr">
        <is>
          <t>3636312</t>
        </is>
      </c>
      <c r="C136" t="inlineStr">
        <is>
          <t>18</t>
        </is>
      </c>
      <c r="D136" t="inlineStr">
        <is>
          <t>validated</t>
        </is>
      </c>
      <c r="E136" t="b">
        <v>1</v>
      </c>
      <c r="F136">
        <f>IMAGE("https://chmeetings.blob.core.windows.net/846969/attachments/rmWCxWcMEGG5rXmhOlu0w/0885f487-e712-429a-b0e2-a388a96de779.jpg")</f>
        <v/>
      </c>
      <c r="G136" t="inlineStr">
        <is>
          <t>Patrick</t>
        </is>
      </c>
      <c r="H136" t="inlineStr">
        <is>
          <t>Ho</t>
        </is>
      </c>
      <c r="I136" t="inlineStr">
        <is>
          <t>Male</t>
        </is>
      </c>
      <c r="J136" t="n">
        <v>20</v>
      </c>
      <c r="K136" t="inlineStr">
        <is>
          <t>(840) 265-5989</t>
        </is>
      </c>
      <c r="L136" t="inlineStr">
        <is>
          <t>quangforwork105@gmail.com</t>
        </is>
      </c>
      <c r="M136" t="inlineStr">
        <is>
          <t>Soccer - Coed Exhibition</t>
        </is>
      </c>
      <c r="N136" t="inlineStr">
        <is>
          <t>Mixed</t>
        </is>
      </c>
      <c r="O136" t="inlineStr">
        <is>
          <t>Team</t>
        </is>
      </c>
      <c r="P136" t="inlineStr"/>
      <c r="Q136" t="inlineStr"/>
    </row>
    <row r="137">
      <c r="A137" t="inlineStr">
        <is>
          <t>ORN</t>
        </is>
      </c>
      <c r="B137" t="inlineStr">
        <is>
          <t>4363697</t>
        </is>
      </c>
      <c r="C137" t="inlineStr">
        <is>
          <t>78</t>
        </is>
      </c>
      <c r="D137" t="inlineStr">
        <is>
          <t>validated</t>
        </is>
      </c>
      <c r="E137" t="b">
        <v>1</v>
      </c>
      <c r="F137">
        <f>IMAGE("https://chmeetings.blob.core.windows.net/846969/attachments/askB42UIkkCVV68lGcOo2A/f5e4634d-a461-4e22-82cb-04c4294c2071.jpg")</f>
        <v/>
      </c>
      <c r="G137" t="inlineStr">
        <is>
          <t>Dat</t>
        </is>
      </c>
      <c r="H137" t="inlineStr">
        <is>
          <t>Pham</t>
        </is>
      </c>
      <c r="I137" t="inlineStr">
        <is>
          <t>Male</t>
        </is>
      </c>
      <c r="J137" t="n">
        <v>21</v>
      </c>
      <c r="K137" t="inlineStr">
        <is>
          <t>(951) 892-9984</t>
        </is>
      </c>
      <c r="L137" t="inlineStr">
        <is>
          <t>truongdatpham@gmail.com</t>
        </is>
      </c>
      <c r="M137" t="inlineStr">
        <is>
          <t>Soccer - Coed Exhibition</t>
        </is>
      </c>
      <c r="N137" t="inlineStr">
        <is>
          <t>Mixed</t>
        </is>
      </c>
      <c r="O137" t="inlineStr">
        <is>
          <t>Team</t>
        </is>
      </c>
      <c r="P137" t="inlineStr"/>
      <c r="Q137" t="inlineStr"/>
    </row>
    <row r="138">
      <c r="A138" t="inlineStr">
        <is>
          <t>ORN</t>
        </is>
      </c>
      <c r="B138" t="inlineStr">
        <is>
          <t>3636312</t>
        </is>
      </c>
      <c r="C138" t="inlineStr">
        <is>
          <t>18</t>
        </is>
      </c>
      <c r="D138" t="inlineStr">
        <is>
          <t>validated</t>
        </is>
      </c>
      <c r="E138" t="b">
        <v>1</v>
      </c>
      <c r="F138">
        <f>IMAGE("https://chmeetings.blob.core.windows.net/846969/attachments/rmWCxWcMEGG5rXmhOlu0w/0885f487-e712-429a-b0e2-a388a96de779.jpg")</f>
        <v/>
      </c>
      <c r="G138" t="inlineStr">
        <is>
          <t>Patrick</t>
        </is>
      </c>
      <c r="H138" t="inlineStr">
        <is>
          <t>Ho</t>
        </is>
      </c>
      <c r="I138" t="inlineStr">
        <is>
          <t>Male</t>
        </is>
      </c>
      <c r="J138" t="n">
        <v>20</v>
      </c>
      <c r="K138" t="inlineStr">
        <is>
          <t>(840) 265-5989</t>
        </is>
      </c>
      <c r="L138" t="inlineStr">
        <is>
          <t>quangforwork105@gmail.com</t>
        </is>
      </c>
      <c r="M138" t="inlineStr">
        <is>
          <t>Tennis</t>
        </is>
      </c>
      <c r="N138" t="inlineStr">
        <is>
          <t>Men</t>
        </is>
      </c>
      <c r="O138" t="inlineStr">
        <is>
          <t>Singles</t>
        </is>
      </c>
      <c r="P138" t="inlineStr"/>
      <c r="Q138" t="inlineStr"/>
    </row>
    <row r="139">
      <c r="A139" t="inlineStr">
        <is>
          <t>ORN</t>
        </is>
      </c>
      <c r="B139" t="inlineStr">
        <is>
          <t>3623157</t>
        </is>
      </c>
      <c r="C139" t="inlineStr">
        <is>
          <t>79</t>
        </is>
      </c>
      <c r="D139" t="inlineStr">
        <is>
          <t>validated</t>
        </is>
      </c>
      <c r="E139" t="b">
        <v>1</v>
      </c>
      <c r="F139">
        <f>IMAGE("https://chmeetings.blob.core.windows.net/846969/attachments/HzlweDuVSE6PkzH7lPPQ/b05978ca-bb0d-4025-8e8b-e4bcb1a862e7.jpg")</f>
        <v/>
      </c>
      <c r="G139" t="inlineStr">
        <is>
          <t>Johnny</t>
        </is>
      </c>
      <c r="H139" t="inlineStr">
        <is>
          <t>Ho</t>
        </is>
      </c>
      <c r="I139" t="inlineStr">
        <is>
          <t>Male</t>
        </is>
      </c>
      <c r="J139" t="n">
        <v>18</v>
      </c>
      <c r="K139" t="inlineStr">
        <is>
          <t>(951) 573-3752</t>
        </is>
      </c>
      <c r="L139" t="inlineStr">
        <is>
          <t>hodoanhongquan2024@gmail.com</t>
        </is>
      </c>
      <c r="M139" t="inlineStr">
        <is>
          <t>Track &amp; Field</t>
        </is>
      </c>
      <c r="N139" t="inlineStr">
        <is>
          <t>Mixed</t>
        </is>
      </c>
      <c r="O139" t="inlineStr">
        <is>
          <t>Team</t>
        </is>
      </c>
      <c r="P139" t="inlineStr"/>
      <c r="Q139" t="inlineStr"/>
    </row>
    <row r="140">
      <c r="A140" t="inlineStr">
        <is>
          <t>ORN</t>
        </is>
      </c>
      <c r="B140" t="inlineStr">
        <is>
          <t>3636312</t>
        </is>
      </c>
      <c r="C140" t="inlineStr">
        <is>
          <t>18</t>
        </is>
      </c>
      <c r="D140" t="inlineStr">
        <is>
          <t>validated</t>
        </is>
      </c>
      <c r="E140" t="b">
        <v>1</v>
      </c>
      <c r="F140">
        <f>IMAGE("https://chmeetings.blob.core.windows.net/846969/attachments/rmWCxWcMEGG5rXmhOlu0w/0885f487-e712-429a-b0e2-a388a96de779.jpg")</f>
        <v/>
      </c>
      <c r="G140" t="inlineStr">
        <is>
          <t>Patrick</t>
        </is>
      </c>
      <c r="H140" t="inlineStr">
        <is>
          <t>Ho</t>
        </is>
      </c>
      <c r="I140" t="inlineStr">
        <is>
          <t>Male</t>
        </is>
      </c>
      <c r="J140" t="n">
        <v>20</v>
      </c>
      <c r="K140" t="inlineStr">
        <is>
          <t>(840) 265-5989</t>
        </is>
      </c>
      <c r="L140" t="inlineStr">
        <is>
          <t>quangforwork105@gmail.com</t>
        </is>
      </c>
      <c r="M140" t="inlineStr">
        <is>
          <t>Track &amp; Field</t>
        </is>
      </c>
      <c r="N140" t="inlineStr">
        <is>
          <t>Mixed</t>
        </is>
      </c>
      <c r="O140" t="inlineStr">
        <is>
          <t>Team</t>
        </is>
      </c>
      <c r="P140" t="inlineStr"/>
      <c r="Q140" t="inlineStr"/>
    </row>
    <row r="141">
      <c r="A141" t="inlineStr">
        <is>
          <t>ORN</t>
        </is>
      </c>
      <c r="B141" t="inlineStr">
        <is>
          <t>3635913</t>
        </is>
      </c>
      <c r="C141" t="inlineStr">
        <is>
          <t>17</t>
        </is>
      </c>
      <c r="D141" t="inlineStr">
        <is>
          <t>validated</t>
        </is>
      </c>
      <c r="E141" t="b">
        <v>1</v>
      </c>
      <c r="F141">
        <f>IMAGE("https://chmeetings.blob.core.windows.net/846969/attachments/Mul7jbKbAE29qrSeitsaQ/70858581-18a8-4d38-a34b-36f27970e10b.jpg")</f>
        <v/>
      </c>
      <c r="G141" t="inlineStr">
        <is>
          <t>Naomi</t>
        </is>
      </c>
      <c r="H141" t="inlineStr">
        <is>
          <t>Le</t>
        </is>
      </c>
      <c r="I141" t="inlineStr">
        <is>
          <t>Female</t>
        </is>
      </c>
      <c r="J141" t="n">
        <v>18</v>
      </c>
      <c r="K141" t="inlineStr">
        <is>
          <t>(951) 474-9992</t>
        </is>
      </c>
      <c r="L141" t="inlineStr">
        <is>
          <t>naomithienngocle@gmail.com</t>
        </is>
      </c>
      <c r="M141" t="inlineStr">
        <is>
          <t>Track &amp; Field</t>
        </is>
      </c>
      <c r="N141" t="inlineStr">
        <is>
          <t>Mixed</t>
        </is>
      </c>
      <c r="O141" t="inlineStr">
        <is>
          <t>Team</t>
        </is>
      </c>
      <c r="P141" t="inlineStr"/>
      <c r="Q141" t="inlineStr"/>
    </row>
    <row r="142">
      <c r="A142" t="inlineStr">
        <is>
          <t>ORN</t>
        </is>
      </c>
      <c r="B142" t="inlineStr">
        <is>
          <t>3623151</t>
        </is>
      </c>
      <c r="C142" t="inlineStr">
        <is>
          <t>15</t>
        </is>
      </c>
      <c r="D142" t="inlineStr">
        <is>
          <t>validated</t>
        </is>
      </c>
      <c r="E142" t="b">
        <v>1</v>
      </c>
      <c r="F142">
        <f>IMAGE("https://chmeetings.blob.core.windows.net/846969/attachments/z7xCROYqU640Hcj39vXnA/7df9ecde-a535-47b7-b28e-c4595f88700e.jpg")</f>
        <v/>
      </c>
      <c r="G142" t="inlineStr">
        <is>
          <t>Luke</t>
        </is>
      </c>
      <c r="H142" t="inlineStr">
        <is>
          <t>Tran</t>
        </is>
      </c>
      <c r="I142" t="inlineStr">
        <is>
          <t>Male</t>
        </is>
      </c>
      <c r="J142" t="n">
        <v>19</v>
      </c>
      <c r="K142" t="inlineStr">
        <is>
          <t>(714) 696-2217</t>
        </is>
      </c>
      <c r="L142" t="inlineStr">
        <is>
          <t>ltttran01@gmail.com</t>
        </is>
      </c>
      <c r="M142" t="inlineStr">
        <is>
          <t>Track &amp; Field</t>
        </is>
      </c>
      <c r="N142" t="inlineStr">
        <is>
          <t>Mixed</t>
        </is>
      </c>
      <c r="O142" t="inlineStr">
        <is>
          <t>Team</t>
        </is>
      </c>
      <c r="P142" t="inlineStr"/>
      <c r="Q142" t="inlineStr"/>
    </row>
    <row r="143">
      <c r="A143" t="inlineStr">
        <is>
          <t>ORN</t>
        </is>
      </c>
      <c r="B143" t="inlineStr">
        <is>
          <t>3635913</t>
        </is>
      </c>
      <c r="C143" t="inlineStr">
        <is>
          <t>17</t>
        </is>
      </c>
      <c r="D143" t="inlineStr">
        <is>
          <t>validated</t>
        </is>
      </c>
      <c r="E143" t="b">
        <v>1</v>
      </c>
      <c r="F143">
        <f>IMAGE("https://chmeetings.blob.core.windows.net/846969/attachments/Mul7jbKbAE29qrSeitsaQ/70858581-18a8-4d38-a34b-36f27970e10b.jpg")</f>
        <v/>
      </c>
      <c r="G143" t="inlineStr">
        <is>
          <t>Naomi</t>
        </is>
      </c>
      <c r="H143" t="inlineStr">
        <is>
          <t>Le</t>
        </is>
      </c>
      <c r="I143" t="inlineStr">
        <is>
          <t>Female</t>
        </is>
      </c>
      <c r="J143" t="n">
        <v>18</v>
      </c>
      <c r="K143" t="inlineStr">
        <is>
          <t>(951) 474-9992</t>
        </is>
      </c>
      <c r="L143" t="inlineStr">
        <is>
          <t>naomithienngocle@gmail.com</t>
        </is>
      </c>
      <c r="M143" t="inlineStr">
        <is>
          <t>Tug-of-war</t>
        </is>
      </c>
      <c r="N143" t="inlineStr">
        <is>
          <t>Mixed</t>
        </is>
      </c>
      <c r="O143" t="inlineStr">
        <is>
          <t>Team</t>
        </is>
      </c>
      <c r="P143" t="inlineStr"/>
      <c r="Q143" t="inlineStr"/>
    </row>
    <row r="144">
      <c r="A144" t="inlineStr">
        <is>
          <t>ORN</t>
        </is>
      </c>
      <c r="B144" t="inlineStr">
        <is>
          <t>3505206</t>
        </is>
      </c>
      <c r="C144" t="inlineStr">
        <is>
          <t>16</t>
        </is>
      </c>
      <c r="D144" t="inlineStr">
        <is>
          <t>validated</t>
        </is>
      </c>
      <c r="E144" t="b">
        <v>1</v>
      </c>
      <c r="F144">
        <f>IMAGE("https://chmeetings.blob.core.windows.net/846969/attachments/3veswZCVtEs6fg25uiOYg/14d4ef4d-d959-4d64-ae0d-e552b50141f9.jpg")</f>
        <v/>
      </c>
      <c r="G144" t="inlineStr">
        <is>
          <t>Matthew</t>
        </is>
      </c>
      <c r="H144" t="inlineStr">
        <is>
          <t>Nguyen</t>
        </is>
      </c>
      <c r="I144" t="inlineStr">
        <is>
          <t>Male</t>
        </is>
      </c>
      <c r="J144" t="n">
        <v>31</v>
      </c>
      <c r="K144" t="inlineStr">
        <is>
          <t>(714) 391-5045</t>
        </is>
      </c>
      <c r="L144" t="inlineStr">
        <is>
          <t>matthewlan1995@yahoo.com</t>
        </is>
      </c>
      <c r="M144" t="inlineStr">
        <is>
          <t>Tug-of-war</t>
        </is>
      </c>
      <c r="N144" t="inlineStr">
        <is>
          <t>Mixed</t>
        </is>
      </c>
      <c r="O144" t="inlineStr">
        <is>
          <t>Team</t>
        </is>
      </c>
      <c r="P144" t="inlineStr"/>
      <c r="Q144" t="inlineStr"/>
    </row>
    <row r="145">
      <c r="A145" t="inlineStr">
        <is>
          <t>ORN</t>
        </is>
      </c>
      <c r="B145" t="inlineStr">
        <is>
          <t>3623151</t>
        </is>
      </c>
      <c r="C145" t="inlineStr">
        <is>
          <t>15</t>
        </is>
      </c>
      <c r="D145" t="inlineStr">
        <is>
          <t>validated</t>
        </is>
      </c>
      <c r="E145" t="b">
        <v>1</v>
      </c>
      <c r="F145">
        <f>IMAGE("https://chmeetings.blob.core.windows.net/846969/attachments/z7xCROYqU640Hcj39vXnA/7df9ecde-a535-47b7-b28e-c4595f88700e.jpg")</f>
        <v/>
      </c>
      <c r="G145" t="inlineStr">
        <is>
          <t>Luke</t>
        </is>
      </c>
      <c r="H145" t="inlineStr">
        <is>
          <t>Tran</t>
        </is>
      </c>
      <c r="I145" t="inlineStr">
        <is>
          <t>Male</t>
        </is>
      </c>
      <c r="J145" t="n">
        <v>19</v>
      </c>
      <c r="K145" t="inlineStr">
        <is>
          <t>(714) 696-2217</t>
        </is>
      </c>
      <c r="L145" t="inlineStr">
        <is>
          <t>ltttran01@gmail.com</t>
        </is>
      </c>
      <c r="M145" t="inlineStr">
        <is>
          <t>Tug-of-war</t>
        </is>
      </c>
      <c r="N145" t="inlineStr">
        <is>
          <t>Mixed</t>
        </is>
      </c>
      <c r="O145" t="inlineStr">
        <is>
          <t>Team</t>
        </is>
      </c>
      <c r="P145" t="inlineStr"/>
      <c r="Q145" t="inlineStr"/>
    </row>
    <row r="146">
      <c r="A146" t="inlineStr">
        <is>
          <t>ORN</t>
        </is>
      </c>
      <c r="B146" t="inlineStr">
        <is>
          <t>3623157</t>
        </is>
      </c>
      <c r="C146" t="inlineStr">
        <is>
          <t>79</t>
        </is>
      </c>
      <c r="D146" t="inlineStr">
        <is>
          <t>validated</t>
        </is>
      </c>
      <c r="E146" t="b">
        <v>1</v>
      </c>
      <c r="F146">
        <f>IMAGE("https://chmeetings.blob.core.windows.net/846969/attachments/HzlweDuVSE6PkzH7lPPQ/b05978ca-bb0d-4025-8e8b-e4bcb1a862e7.jpg")</f>
        <v/>
      </c>
      <c r="G146" t="inlineStr">
        <is>
          <t>Johnny</t>
        </is>
      </c>
      <c r="H146" t="inlineStr">
        <is>
          <t>Ho</t>
        </is>
      </c>
      <c r="I146" t="inlineStr">
        <is>
          <t>Male</t>
        </is>
      </c>
      <c r="J146" t="n">
        <v>18</v>
      </c>
      <c r="K146" t="inlineStr">
        <is>
          <t>(951) 573-3752</t>
        </is>
      </c>
      <c r="L146" t="inlineStr">
        <is>
          <t>hodoanhongquan2024@gmail.com</t>
        </is>
      </c>
      <c r="M146" t="inlineStr">
        <is>
          <t>Volleyball</t>
        </is>
      </c>
      <c r="N146" t="inlineStr">
        <is>
          <t>Men</t>
        </is>
      </c>
      <c r="O146" t="inlineStr">
        <is>
          <t>Team</t>
        </is>
      </c>
      <c r="P146" t="inlineStr"/>
      <c r="Q146" t="inlineStr"/>
    </row>
    <row r="147">
      <c r="A147" t="inlineStr">
        <is>
          <t>ORN</t>
        </is>
      </c>
      <c r="B147" t="inlineStr">
        <is>
          <t>4363697</t>
        </is>
      </c>
      <c r="C147" t="inlineStr">
        <is>
          <t>78</t>
        </is>
      </c>
      <c r="D147" t="inlineStr">
        <is>
          <t>validated</t>
        </is>
      </c>
      <c r="E147" t="b">
        <v>1</v>
      </c>
      <c r="F147">
        <f>IMAGE("https://chmeetings.blob.core.windows.net/846969/attachments/askB42UIkkCVV68lGcOo2A/f5e4634d-a461-4e22-82cb-04c4294c2071.jpg")</f>
        <v/>
      </c>
      <c r="G147" t="inlineStr">
        <is>
          <t>Dat</t>
        </is>
      </c>
      <c r="H147" t="inlineStr">
        <is>
          <t>Pham</t>
        </is>
      </c>
      <c r="I147" t="inlineStr">
        <is>
          <t>Male</t>
        </is>
      </c>
      <c r="J147" t="n">
        <v>21</v>
      </c>
      <c r="K147" t="inlineStr">
        <is>
          <t>(951) 892-9984</t>
        </is>
      </c>
      <c r="L147" t="inlineStr">
        <is>
          <t>truongdatpham@gmail.com</t>
        </is>
      </c>
      <c r="M147" t="inlineStr">
        <is>
          <t>Volleyball</t>
        </is>
      </c>
      <c r="N147" t="inlineStr">
        <is>
          <t>Men</t>
        </is>
      </c>
      <c r="O147" t="inlineStr">
        <is>
          <t>Team</t>
        </is>
      </c>
      <c r="P147" t="inlineStr"/>
      <c r="Q147" t="inlineStr"/>
    </row>
    <row r="148">
      <c r="A148" t="inlineStr">
        <is>
          <t>ORN</t>
        </is>
      </c>
      <c r="B148" t="inlineStr">
        <is>
          <t>3623151</t>
        </is>
      </c>
      <c r="C148" t="inlineStr">
        <is>
          <t>15</t>
        </is>
      </c>
      <c r="D148" t="inlineStr">
        <is>
          <t>validated</t>
        </is>
      </c>
      <c r="E148" t="b">
        <v>1</v>
      </c>
      <c r="F148">
        <f>IMAGE("https://chmeetings.blob.core.windows.net/846969/attachments/z7xCROYqU640Hcj39vXnA/7df9ecde-a535-47b7-b28e-c4595f88700e.jpg")</f>
        <v/>
      </c>
      <c r="G148" t="inlineStr">
        <is>
          <t>Luke</t>
        </is>
      </c>
      <c r="H148" t="inlineStr">
        <is>
          <t>Tran</t>
        </is>
      </c>
      <c r="I148" t="inlineStr">
        <is>
          <t>Male</t>
        </is>
      </c>
      <c r="J148" t="n">
        <v>19</v>
      </c>
      <c r="K148" t="inlineStr">
        <is>
          <t>(714) 696-2217</t>
        </is>
      </c>
      <c r="L148" t="inlineStr">
        <is>
          <t>ltttran01@gmail.com</t>
        </is>
      </c>
      <c r="M148" t="inlineStr">
        <is>
          <t>Volleyball</t>
        </is>
      </c>
      <c r="N148" t="inlineStr">
        <is>
          <t>Men</t>
        </is>
      </c>
      <c r="O148" t="inlineStr">
        <is>
          <t>Team</t>
        </is>
      </c>
      <c r="P148" t="inlineStr"/>
      <c r="Q148" t="inlineStr"/>
    </row>
    <row r="149">
      <c r="A149" t="inlineStr">
        <is>
          <t>ORN</t>
        </is>
      </c>
      <c r="B149" t="inlineStr">
        <is>
          <t>3635913</t>
        </is>
      </c>
      <c r="C149" t="inlineStr">
        <is>
          <t>17</t>
        </is>
      </c>
      <c r="D149" t="inlineStr">
        <is>
          <t>validated</t>
        </is>
      </c>
      <c r="E149" t="b">
        <v>1</v>
      </c>
      <c r="F149">
        <f>IMAGE("https://chmeetings.blob.core.windows.net/846969/attachments/Mul7jbKbAE29qrSeitsaQ/70858581-18a8-4d38-a34b-36f27970e10b.jpg")</f>
        <v/>
      </c>
      <c r="G149" t="inlineStr">
        <is>
          <t>Naomi</t>
        </is>
      </c>
      <c r="H149" t="inlineStr">
        <is>
          <t>Le</t>
        </is>
      </c>
      <c r="I149" t="inlineStr">
        <is>
          <t>Female</t>
        </is>
      </c>
      <c r="J149" t="n">
        <v>18</v>
      </c>
      <c r="K149" t="inlineStr">
        <is>
          <t>(951) 474-9992</t>
        </is>
      </c>
      <c r="L149" t="inlineStr">
        <is>
          <t>naomithienngocle@gmail.com</t>
        </is>
      </c>
      <c r="M149" t="inlineStr">
        <is>
          <t>Volleyball</t>
        </is>
      </c>
      <c r="N149" t="inlineStr">
        <is>
          <t>Women</t>
        </is>
      </c>
      <c r="O149" t="inlineStr">
        <is>
          <t>Team</t>
        </is>
      </c>
      <c r="P149" t="inlineStr"/>
      <c r="Q149" t="inlineStr"/>
    </row>
    <row r="150">
      <c r="A150" t="inlineStr">
        <is>
          <t>PCC</t>
        </is>
      </c>
      <c r="B150" t="inlineStr">
        <is>
          <t>3615926</t>
        </is>
      </c>
      <c r="C150" t="inlineStr">
        <is>
          <t>97</t>
        </is>
      </c>
      <c r="D150" t="inlineStr">
        <is>
          <t>validated</t>
        </is>
      </c>
      <c r="E150" t="b">
        <v>1</v>
      </c>
      <c r="F150">
        <f>IMAGE("https://chmeetings.blob.core.windows.net/846969/attachments/JQzE4BjkGi1nJQdHKtA/dda63993-8871-4240-91ab-97d72c1f74f0.jpg")</f>
        <v/>
      </c>
      <c r="G150" t="inlineStr">
        <is>
          <t>Paula</t>
        </is>
      </c>
      <c r="H150" t="inlineStr">
        <is>
          <t>Huynh</t>
        </is>
      </c>
      <c r="I150" t="inlineStr">
        <is>
          <t>Female</t>
        </is>
      </c>
      <c r="J150" t="n">
        <v>18</v>
      </c>
      <c r="K150" t="inlineStr">
        <is>
          <t>(858) 269-9236</t>
        </is>
      </c>
      <c r="L150" t="inlineStr">
        <is>
          <t>paula.huynh08@gmail.com</t>
        </is>
      </c>
      <c r="M150" t="inlineStr">
        <is>
          <t>Bible Challenge</t>
        </is>
      </c>
      <c r="N150" t="inlineStr">
        <is>
          <t>Mixed</t>
        </is>
      </c>
      <c r="O150" t="inlineStr">
        <is>
          <t>Team</t>
        </is>
      </c>
      <c r="P150" t="inlineStr"/>
      <c r="Q150" t="inlineStr"/>
    </row>
    <row r="151">
      <c r="A151" t="inlineStr">
        <is>
          <t>PCC</t>
        </is>
      </c>
      <c r="B151" t="inlineStr">
        <is>
          <t>3615939</t>
        </is>
      </c>
      <c r="C151" t="inlineStr">
        <is>
          <t>103</t>
        </is>
      </c>
      <c r="D151" t="inlineStr">
        <is>
          <t>pending</t>
        </is>
      </c>
      <c r="E151" t="b">
        <v>1</v>
      </c>
      <c r="F151">
        <f>IMAGE("https://chmeetings.blob.core.windows.net/846969/attachments/mM0gFFZvK0y4fHMGqX3qIA/e2efb60e-cb30-4d10-8462-78bce218d675.jpg")</f>
        <v/>
      </c>
      <c r="G151" t="inlineStr">
        <is>
          <t>Victoria</t>
        </is>
      </c>
      <c r="H151" t="inlineStr">
        <is>
          <t>Vuong</t>
        </is>
      </c>
      <c r="I151" t="inlineStr">
        <is>
          <t>Female</t>
        </is>
      </c>
      <c r="J151" t="n">
        <v>15</v>
      </c>
      <c r="K151" t="inlineStr">
        <is>
          <t>(858) 780-6524</t>
        </is>
      </c>
      <c r="L151" t="inlineStr">
        <is>
          <t>victoria.vuongg11@gmail.com</t>
        </is>
      </c>
      <c r="M151" t="inlineStr">
        <is>
          <t>Bible Challenge</t>
        </is>
      </c>
      <c r="N151" t="inlineStr">
        <is>
          <t>Mixed</t>
        </is>
      </c>
      <c r="O151" t="inlineStr">
        <is>
          <t>Team</t>
        </is>
      </c>
      <c r="P151" t="inlineStr"/>
      <c r="Q151" t="inlineStr"/>
    </row>
    <row r="152">
      <c r="A152" t="inlineStr">
        <is>
          <t>PCC</t>
        </is>
      </c>
      <c r="B152" t="inlineStr">
        <is>
          <t>3615924</t>
        </is>
      </c>
      <c r="C152" t="inlineStr">
        <is>
          <t>96</t>
        </is>
      </c>
      <c r="D152" t="inlineStr">
        <is>
          <t>validated</t>
        </is>
      </c>
      <c r="E152" t="b">
        <v>1</v>
      </c>
      <c r="F152">
        <f>IMAGE("https://chmeetings.blob.core.windows.net/846969/attachments/MZuX3sULm0uE6GUDiZyag/d82bddb5-8dc3-451c-a737-e765849edbe5.jpg")</f>
        <v/>
      </c>
      <c r="G152" t="inlineStr">
        <is>
          <t>Sylas</t>
        </is>
      </c>
      <c r="H152" t="inlineStr">
        <is>
          <t>Doan</t>
        </is>
      </c>
      <c r="I152" t="inlineStr">
        <is>
          <t>Male</t>
        </is>
      </c>
      <c r="J152" t="n">
        <v>18</v>
      </c>
      <c r="K152" t="inlineStr">
        <is>
          <t>(619) 897-0626</t>
        </is>
      </c>
      <c r="L152" t="inlineStr">
        <is>
          <t>sylaskdoan@gmail.com</t>
        </is>
      </c>
      <c r="M152" t="inlineStr">
        <is>
          <t>Pickleball</t>
        </is>
      </c>
      <c r="N152" t="inlineStr">
        <is>
          <t>Mixed</t>
        </is>
      </c>
      <c r="O152" t="inlineStr">
        <is>
          <t>Team</t>
        </is>
      </c>
      <c r="P152" t="inlineStr"/>
      <c r="Q152" t="inlineStr"/>
    </row>
    <row r="153">
      <c r="A153" t="inlineStr">
        <is>
          <t>PCC</t>
        </is>
      </c>
      <c r="B153" t="inlineStr">
        <is>
          <t>3615924</t>
        </is>
      </c>
      <c r="C153" t="inlineStr">
        <is>
          <t>96</t>
        </is>
      </c>
      <c r="D153" t="inlineStr">
        <is>
          <t>validated</t>
        </is>
      </c>
      <c r="E153" t="b">
        <v>1</v>
      </c>
      <c r="F153">
        <f>IMAGE("https://chmeetings.blob.core.windows.net/846969/attachments/MZuX3sULm0uE6GUDiZyag/d82bddb5-8dc3-451c-a737-e765849edbe5.jpg")</f>
        <v/>
      </c>
      <c r="G153" t="inlineStr">
        <is>
          <t>Sylas</t>
        </is>
      </c>
      <c r="H153" t="inlineStr">
        <is>
          <t>Doan</t>
        </is>
      </c>
      <c r="I153" t="inlineStr">
        <is>
          <t>Male</t>
        </is>
      </c>
      <c r="J153" t="n">
        <v>18</v>
      </c>
      <c r="K153" t="inlineStr">
        <is>
          <t>(619) 897-0626</t>
        </is>
      </c>
      <c r="L153" t="inlineStr">
        <is>
          <t>sylaskdoan@gmail.com</t>
        </is>
      </c>
      <c r="M153" t="inlineStr">
        <is>
          <t>Soccer - Coed Exhibition</t>
        </is>
      </c>
      <c r="N153" t="inlineStr">
        <is>
          <t>Mixed</t>
        </is>
      </c>
      <c r="O153" t="inlineStr">
        <is>
          <t>Team</t>
        </is>
      </c>
      <c r="P153" t="inlineStr"/>
      <c r="Q153" t="inlineStr"/>
    </row>
    <row r="154">
      <c r="A154" t="inlineStr">
        <is>
          <t>PCC</t>
        </is>
      </c>
      <c r="B154" t="inlineStr">
        <is>
          <t>3610933</t>
        </is>
      </c>
      <c r="C154" t="inlineStr">
        <is>
          <t>101</t>
        </is>
      </c>
      <c r="D154" t="inlineStr">
        <is>
          <t>validated</t>
        </is>
      </c>
      <c r="E154" t="b">
        <v>1</v>
      </c>
      <c r="F154">
        <f>IMAGE("https://chmeetings.blob.core.windows.net/846969/attachments/rsy8NHglukeGParGAUGW1g/b5dcbd2f-ae7f-4d6e-b042-75f29e50fee8.jpg")</f>
        <v/>
      </c>
      <c r="G154" t="inlineStr">
        <is>
          <t>khang</t>
        </is>
      </c>
      <c r="H154" t="inlineStr">
        <is>
          <t>huynh</t>
        </is>
      </c>
      <c r="I154" t="inlineStr">
        <is>
          <t>Male</t>
        </is>
      </c>
      <c r="J154" t="n">
        <v>20</v>
      </c>
      <c r="K154" t="inlineStr">
        <is>
          <t>(858) 305-9787</t>
        </is>
      </c>
      <c r="L154" t="inlineStr">
        <is>
          <t>khanghuynh1324@icloud.com</t>
        </is>
      </c>
      <c r="M154" t="inlineStr">
        <is>
          <t>Soccer - Coed Exhibition</t>
        </is>
      </c>
      <c r="N154" t="inlineStr">
        <is>
          <t>Mixed</t>
        </is>
      </c>
      <c r="O154" t="inlineStr">
        <is>
          <t>Team</t>
        </is>
      </c>
      <c r="P154" t="inlineStr"/>
      <c r="Q154" t="inlineStr"/>
    </row>
    <row r="155">
      <c r="A155" t="inlineStr">
        <is>
          <t>PCC</t>
        </is>
      </c>
      <c r="B155" t="inlineStr">
        <is>
          <t>3615924</t>
        </is>
      </c>
      <c r="C155" t="inlineStr">
        <is>
          <t>96</t>
        </is>
      </c>
      <c r="D155" t="inlineStr">
        <is>
          <t>validated</t>
        </is>
      </c>
      <c r="E155" t="b">
        <v>1</v>
      </c>
      <c r="F155">
        <f>IMAGE("https://chmeetings.blob.core.windows.net/846969/attachments/MZuX3sULm0uE6GUDiZyag/d82bddb5-8dc3-451c-a737-e765849edbe5.jpg")</f>
        <v/>
      </c>
      <c r="G155" t="inlineStr">
        <is>
          <t>Sylas</t>
        </is>
      </c>
      <c r="H155" t="inlineStr">
        <is>
          <t>Doan</t>
        </is>
      </c>
      <c r="I155" t="inlineStr">
        <is>
          <t>Male</t>
        </is>
      </c>
      <c r="J155" t="n">
        <v>18</v>
      </c>
      <c r="K155" t="inlineStr">
        <is>
          <t>(619) 897-0626</t>
        </is>
      </c>
      <c r="L155" t="inlineStr">
        <is>
          <t>sylaskdoan@gmail.com</t>
        </is>
      </c>
      <c r="M155" t="inlineStr">
        <is>
          <t>Track &amp; Field</t>
        </is>
      </c>
      <c r="N155" t="inlineStr">
        <is>
          <t>Mixed</t>
        </is>
      </c>
      <c r="O155" t="inlineStr">
        <is>
          <t>Team</t>
        </is>
      </c>
      <c r="P155" t="inlineStr"/>
      <c r="Q155" t="inlineStr"/>
    </row>
    <row r="156">
      <c r="A156" t="inlineStr">
        <is>
          <t>PCC</t>
        </is>
      </c>
      <c r="B156" t="inlineStr">
        <is>
          <t>3615927</t>
        </is>
      </c>
      <c r="C156" t="inlineStr">
        <is>
          <t>102</t>
        </is>
      </c>
      <c r="D156" t="inlineStr">
        <is>
          <t>validated</t>
        </is>
      </c>
      <c r="E156" t="b">
        <v>1</v>
      </c>
      <c r="F156">
        <f>IMAGE("https://chmeetings.blob.core.windows.net/846969/attachments/Zrta8DMWUakk9LacvoTg/f5ca0686-d499-4f36-aaf7-2daa1d8d7752.jpg")</f>
        <v/>
      </c>
      <c r="G156" t="inlineStr">
        <is>
          <t>Paul</t>
        </is>
      </c>
      <c r="H156" t="inlineStr">
        <is>
          <t>Huynh</t>
        </is>
      </c>
      <c r="I156" t="inlineStr">
        <is>
          <t>Male</t>
        </is>
      </c>
      <c r="J156" t="n">
        <v>18</v>
      </c>
      <c r="K156" t="inlineStr">
        <is>
          <t>(858) 933-7306</t>
        </is>
      </c>
      <c r="L156" t="inlineStr">
        <is>
          <t>Noodle_storm1@icloud.com</t>
        </is>
      </c>
      <c r="M156" t="inlineStr">
        <is>
          <t>Track &amp; Field</t>
        </is>
      </c>
      <c r="N156" t="inlineStr">
        <is>
          <t>Mixed</t>
        </is>
      </c>
      <c r="O156" t="inlineStr">
        <is>
          <t>Team</t>
        </is>
      </c>
      <c r="P156" t="inlineStr"/>
      <c r="Q156" t="inlineStr"/>
    </row>
    <row r="157">
      <c r="A157" t="inlineStr">
        <is>
          <t>PCC</t>
        </is>
      </c>
      <c r="B157" t="inlineStr">
        <is>
          <t>3610932</t>
        </is>
      </c>
      <c r="C157" t="inlineStr">
        <is>
          <t>99</t>
        </is>
      </c>
      <c r="D157" t="inlineStr">
        <is>
          <t>validated</t>
        </is>
      </c>
      <c r="E157" t="b">
        <v>0</v>
      </c>
      <c r="F157">
        <f>IMAGE("https://chmeetings.blob.core.windows.net/846969/attachments/jSqCYDu6wEGhHmvDctKIw/adebb1ad-5662-4028-b258-23ce1c422218.jpg")</f>
        <v/>
      </c>
      <c r="G157" t="inlineStr">
        <is>
          <t>Jerry</t>
        </is>
      </c>
      <c r="H157" t="inlineStr">
        <is>
          <t>Lai</t>
        </is>
      </c>
      <c r="I157" t="inlineStr">
        <is>
          <t>Male</t>
        </is>
      </c>
      <c r="J157" t="n">
        <v>28</v>
      </c>
      <c r="K157" t="inlineStr">
        <is>
          <t>(619) 402-7575</t>
        </is>
      </c>
      <c r="L157" t="inlineStr">
        <is>
          <t>jerry_lai1997@yahoo.com</t>
        </is>
      </c>
      <c r="M157" t="inlineStr">
        <is>
          <t>Track &amp; Field</t>
        </is>
      </c>
      <c r="N157" t="inlineStr">
        <is>
          <t>Mixed</t>
        </is>
      </c>
      <c r="O157" t="inlineStr">
        <is>
          <t>Team</t>
        </is>
      </c>
      <c r="P157" t="inlineStr"/>
      <c r="Q157" t="inlineStr"/>
    </row>
    <row r="158">
      <c r="A158" t="inlineStr">
        <is>
          <t>PCC</t>
        </is>
      </c>
      <c r="B158" t="inlineStr">
        <is>
          <t>3610930</t>
        </is>
      </c>
      <c r="C158" t="inlineStr">
        <is>
          <t>94</t>
        </is>
      </c>
      <c r="D158" t="inlineStr">
        <is>
          <t>pending</t>
        </is>
      </c>
      <c r="E158" t="b">
        <v>1</v>
      </c>
      <c r="F158">
        <f>IMAGE("https://chmeetings.blob.core.windows.net/846969/attachments/0334zPheP0iaYDfGUyBQ2A/484ab1fa-b9eb-4695-9798-897b62cb6b4f.jpg")</f>
        <v/>
      </c>
      <c r="G158" t="inlineStr">
        <is>
          <t>Daisey</t>
        </is>
      </c>
      <c r="H158" t="inlineStr">
        <is>
          <t>Phan</t>
        </is>
      </c>
      <c r="I158" t="inlineStr">
        <is>
          <t>Female</t>
        </is>
      </c>
      <c r="J158" t="n">
        <v>16</v>
      </c>
      <c r="K158" t="inlineStr">
        <is>
          <t>(619) 227-8965</t>
        </is>
      </c>
      <c r="L158" t="inlineStr">
        <is>
          <t>daiseyphan441@gmail.com</t>
        </is>
      </c>
      <c r="M158" t="inlineStr">
        <is>
          <t>Track &amp; Field</t>
        </is>
      </c>
      <c r="N158" t="inlineStr">
        <is>
          <t>Mixed</t>
        </is>
      </c>
      <c r="O158" t="inlineStr">
        <is>
          <t>Team</t>
        </is>
      </c>
      <c r="P158" t="inlineStr"/>
      <c r="Q158" t="inlineStr"/>
    </row>
    <row r="159">
      <c r="A159" t="inlineStr">
        <is>
          <t>PCC</t>
        </is>
      </c>
      <c r="B159" t="inlineStr">
        <is>
          <t>3615928</t>
        </is>
      </c>
      <c r="C159" t="inlineStr">
        <is>
          <t>98</t>
        </is>
      </c>
      <c r="D159" t="inlineStr">
        <is>
          <t>pending</t>
        </is>
      </c>
      <c r="E159" t="b">
        <v>1</v>
      </c>
      <c r="F159">
        <f>IMAGE("https://chmeetings.blob.core.windows.net/846969/attachments/yr8GQWRkaMhXEt644AUA/cc58517d-7f6e-43e7-b6eb-9441856782fb.jpg")</f>
        <v/>
      </c>
      <c r="G159" t="inlineStr">
        <is>
          <t>Aimy</t>
        </is>
      </c>
      <c r="H159" t="inlineStr">
        <is>
          <t>Thach</t>
        </is>
      </c>
      <c r="I159" t="inlineStr">
        <is>
          <t>Female</t>
        </is>
      </c>
      <c r="J159" t="n">
        <v>0</v>
      </c>
      <c r="K159" t="inlineStr">
        <is>
          <t>(619) 832-2469</t>
        </is>
      </c>
      <c r="L159" t="inlineStr">
        <is>
          <t>aimythach2008@gmail.com</t>
        </is>
      </c>
      <c r="M159" t="inlineStr">
        <is>
          <t>Track &amp; Field</t>
        </is>
      </c>
      <c r="N159" t="inlineStr">
        <is>
          <t>Mixed</t>
        </is>
      </c>
      <c r="O159" t="inlineStr">
        <is>
          <t>Team</t>
        </is>
      </c>
      <c r="P159" t="inlineStr"/>
      <c r="Q159" t="inlineStr"/>
    </row>
    <row r="160">
      <c r="A160" t="inlineStr">
        <is>
          <t>PCC</t>
        </is>
      </c>
      <c r="B160" t="inlineStr">
        <is>
          <t>3615924</t>
        </is>
      </c>
      <c r="C160" t="inlineStr">
        <is>
          <t>96</t>
        </is>
      </c>
      <c r="D160" t="inlineStr">
        <is>
          <t>validated</t>
        </is>
      </c>
      <c r="E160" t="b">
        <v>1</v>
      </c>
      <c r="F160">
        <f>IMAGE("https://chmeetings.blob.core.windows.net/846969/attachments/MZuX3sULm0uE6GUDiZyag/d82bddb5-8dc3-451c-a737-e765849edbe5.jpg")</f>
        <v/>
      </c>
      <c r="G160" t="inlineStr">
        <is>
          <t>Sylas</t>
        </is>
      </c>
      <c r="H160" t="inlineStr">
        <is>
          <t>Doan</t>
        </is>
      </c>
      <c r="I160" t="inlineStr">
        <is>
          <t>Male</t>
        </is>
      </c>
      <c r="J160" t="n">
        <v>18</v>
      </c>
      <c r="K160" t="inlineStr">
        <is>
          <t>(619) 897-0626</t>
        </is>
      </c>
      <c r="L160" t="inlineStr">
        <is>
          <t>sylaskdoan@gmail.com</t>
        </is>
      </c>
      <c r="M160" t="inlineStr">
        <is>
          <t>Tug-of-war</t>
        </is>
      </c>
      <c r="N160" t="inlineStr">
        <is>
          <t>Mixed</t>
        </is>
      </c>
      <c r="O160" t="inlineStr">
        <is>
          <t>Team</t>
        </is>
      </c>
      <c r="P160" t="inlineStr"/>
      <c r="Q160" t="inlineStr"/>
    </row>
    <row r="161">
      <c r="A161" t="inlineStr">
        <is>
          <t>PCC</t>
        </is>
      </c>
      <c r="B161" t="inlineStr">
        <is>
          <t>3615927</t>
        </is>
      </c>
      <c r="C161" t="inlineStr">
        <is>
          <t>102</t>
        </is>
      </c>
      <c r="D161" t="inlineStr">
        <is>
          <t>validated</t>
        </is>
      </c>
      <c r="E161" t="b">
        <v>1</v>
      </c>
      <c r="F161">
        <f>IMAGE("https://chmeetings.blob.core.windows.net/846969/attachments/Zrta8DMWUakk9LacvoTg/f5ca0686-d499-4f36-aaf7-2daa1d8d7752.jpg")</f>
        <v/>
      </c>
      <c r="G161" t="inlineStr">
        <is>
          <t>Paul</t>
        </is>
      </c>
      <c r="H161" t="inlineStr">
        <is>
          <t>Huynh</t>
        </is>
      </c>
      <c r="I161" t="inlineStr">
        <is>
          <t>Male</t>
        </is>
      </c>
      <c r="J161" t="n">
        <v>18</v>
      </c>
      <c r="K161" t="inlineStr">
        <is>
          <t>(858) 933-7306</t>
        </is>
      </c>
      <c r="L161" t="inlineStr">
        <is>
          <t>Noodle_storm1@icloud.com</t>
        </is>
      </c>
      <c r="M161" t="inlineStr">
        <is>
          <t>Tug-of-war</t>
        </is>
      </c>
      <c r="N161" t="inlineStr">
        <is>
          <t>Mixed</t>
        </is>
      </c>
      <c r="O161" t="inlineStr">
        <is>
          <t>Team</t>
        </is>
      </c>
      <c r="P161" t="inlineStr"/>
      <c r="Q161" t="inlineStr"/>
    </row>
    <row r="162">
      <c r="A162" t="inlineStr">
        <is>
          <t>PCC</t>
        </is>
      </c>
      <c r="B162" t="inlineStr">
        <is>
          <t>3615924</t>
        </is>
      </c>
      <c r="C162" t="inlineStr">
        <is>
          <t>96</t>
        </is>
      </c>
      <c r="D162" t="inlineStr">
        <is>
          <t>validated</t>
        </is>
      </c>
      <c r="E162" t="b">
        <v>1</v>
      </c>
      <c r="F162">
        <f>IMAGE("https://chmeetings.blob.core.windows.net/846969/attachments/MZuX3sULm0uE6GUDiZyag/d82bddb5-8dc3-451c-a737-e765849edbe5.jpg")</f>
        <v/>
      </c>
      <c r="G162" t="inlineStr">
        <is>
          <t>Sylas</t>
        </is>
      </c>
      <c r="H162" t="inlineStr">
        <is>
          <t>Doan</t>
        </is>
      </c>
      <c r="I162" t="inlineStr">
        <is>
          <t>Male</t>
        </is>
      </c>
      <c r="J162" t="n">
        <v>18</v>
      </c>
      <c r="K162" t="inlineStr">
        <is>
          <t>(619) 897-0626</t>
        </is>
      </c>
      <c r="L162" t="inlineStr">
        <is>
          <t>sylaskdoan@gmail.com</t>
        </is>
      </c>
      <c r="M162" t="inlineStr">
        <is>
          <t>Volleyball</t>
        </is>
      </c>
      <c r="N162" t="inlineStr">
        <is>
          <t>Men</t>
        </is>
      </c>
      <c r="O162" t="inlineStr">
        <is>
          <t>Team</t>
        </is>
      </c>
      <c r="P162" t="inlineStr"/>
      <c r="Q162" t="inlineStr">
        <is>
          <t>Timothy dao</t>
        </is>
      </c>
    </row>
    <row r="163">
      <c r="A163" t="inlineStr">
        <is>
          <t>PCC</t>
        </is>
      </c>
      <c r="B163" t="inlineStr">
        <is>
          <t>3610932</t>
        </is>
      </c>
      <c r="C163" t="inlineStr">
        <is>
          <t>99</t>
        </is>
      </c>
      <c r="D163" t="inlineStr">
        <is>
          <t>validated</t>
        </is>
      </c>
      <c r="E163" t="b">
        <v>0</v>
      </c>
      <c r="F163">
        <f>IMAGE("https://chmeetings.blob.core.windows.net/846969/attachments/jSqCYDu6wEGhHmvDctKIw/adebb1ad-5662-4028-b258-23ce1c422218.jpg")</f>
        <v/>
      </c>
      <c r="G163" t="inlineStr">
        <is>
          <t>Jerry</t>
        </is>
      </c>
      <c r="H163" t="inlineStr">
        <is>
          <t>Lai</t>
        </is>
      </c>
      <c r="I163" t="inlineStr">
        <is>
          <t>Male</t>
        </is>
      </c>
      <c r="J163" t="n">
        <v>28</v>
      </c>
      <c r="K163" t="inlineStr">
        <is>
          <t>(619) 402-7575</t>
        </is>
      </c>
      <c r="L163" t="inlineStr">
        <is>
          <t>jerry_lai1997@yahoo.com</t>
        </is>
      </c>
      <c r="M163" t="inlineStr">
        <is>
          <t>Volleyball</t>
        </is>
      </c>
      <c r="N163" t="inlineStr">
        <is>
          <t>Men</t>
        </is>
      </c>
      <c r="O163" t="inlineStr">
        <is>
          <t>Team</t>
        </is>
      </c>
      <c r="P163" t="inlineStr"/>
      <c r="Q163" t="inlineStr"/>
    </row>
    <row r="164">
      <c r="A164" t="inlineStr">
        <is>
          <t>PCC</t>
        </is>
      </c>
      <c r="B164" t="inlineStr">
        <is>
          <t>3610933</t>
        </is>
      </c>
      <c r="C164" t="inlineStr">
        <is>
          <t>101</t>
        </is>
      </c>
      <c r="D164" t="inlineStr">
        <is>
          <t>validated</t>
        </is>
      </c>
      <c r="E164" t="b">
        <v>1</v>
      </c>
      <c r="F164">
        <f>IMAGE("https://chmeetings.blob.core.windows.net/846969/attachments/rsy8NHglukeGParGAUGW1g/b5dcbd2f-ae7f-4d6e-b042-75f29e50fee8.jpg")</f>
        <v/>
      </c>
      <c r="G164" t="inlineStr">
        <is>
          <t>khang</t>
        </is>
      </c>
      <c r="H164" t="inlineStr">
        <is>
          <t>huynh</t>
        </is>
      </c>
      <c r="I164" t="inlineStr">
        <is>
          <t>Male</t>
        </is>
      </c>
      <c r="J164" t="n">
        <v>20</v>
      </c>
      <c r="K164" t="inlineStr">
        <is>
          <t>(858) 305-9787</t>
        </is>
      </c>
      <c r="L164" t="inlineStr">
        <is>
          <t>khanghuynh1324@icloud.com</t>
        </is>
      </c>
      <c r="M164" t="inlineStr">
        <is>
          <t>Volleyball</t>
        </is>
      </c>
      <c r="N164" t="inlineStr">
        <is>
          <t>Men</t>
        </is>
      </c>
      <c r="O164" t="inlineStr">
        <is>
          <t>Team</t>
        </is>
      </c>
      <c r="P164" t="inlineStr"/>
      <c r="Q164" t="inlineStr"/>
    </row>
    <row r="165">
      <c r="A165" t="inlineStr">
        <is>
          <t>PCC</t>
        </is>
      </c>
      <c r="B165" t="inlineStr">
        <is>
          <t>3610934</t>
        </is>
      </c>
      <c r="C165" t="inlineStr">
        <is>
          <t>100</t>
        </is>
      </c>
      <c r="D165" t="inlineStr">
        <is>
          <t>validated</t>
        </is>
      </c>
      <c r="E165" t="b">
        <v>1</v>
      </c>
      <c r="F165">
        <f>IMAGE("https://chmeetings.blob.core.windows.net/846969/attachments/UlcCVYaeNEOKklkE1etEw/8f0e0555-8491-4b7e-a7d5-4ea2e10c6a0c.jpg")</f>
        <v/>
      </c>
      <c r="G165" t="inlineStr">
        <is>
          <t>terry</t>
        </is>
      </c>
      <c r="H165" t="inlineStr">
        <is>
          <t>lai</t>
        </is>
      </c>
      <c r="I165" t="inlineStr">
        <is>
          <t>Male</t>
        </is>
      </c>
      <c r="J165" t="n">
        <v>25</v>
      </c>
      <c r="K165" t="inlineStr">
        <is>
          <t>(619) 219-1666</t>
        </is>
      </c>
      <c r="L165" t="inlineStr">
        <is>
          <t>laiterry123@gmail.com</t>
        </is>
      </c>
      <c r="M165" t="inlineStr">
        <is>
          <t>Volleyball</t>
        </is>
      </c>
      <c r="N165" t="inlineStr">
        <is>
          <t>Men</t>
        </is>
      </c>
      <c r="O165" t="inlineStr">
        <is>
          <t>Team</t>
        </is>
      </c>
      <c r="P165" t="inlineStr"/>
      <c r="Q165" t="inlineStr"/>
    </row>
    <row r="166">
      <c r="A166" t="inlineStr">
        <is>
          <t>PCC</t>
        </is>
      </c>
      <c r="B166" t="inlineStr">
        <is>
          <t>3610930</t>
        </is>
      </c>
      <c r="C166" t="inlineStr">
        <is>
          <t>94</t>
        </is>
      </c>
      <c r="D166" t="inlineStr">
        <is>
          <t>pending</t>
        </is>
      </c>
      <c r="E166" t="b">
        <v>1</v>
      </c>
      <c r="F166">
        <f>IMAGE("https://chmeetings.blob.core.windows.net/846969/attachments/0334zPheP0iaYDfGUyBQ2A/484ab1fa-b9eb-4695-9798-897b62cb6b4f.jpg")</f>
        <v/>
      </c>
      <c r="G166" t="inlineStr">
        <is>
          <t>Daisey</t>
        </is>
      </c>
      <c r="H166" t="inlineStr">
        <is>
          <t>Phan</t>
        </is>
      </c>
      <c r="I166" t="inlineStr">
        <is>
          <t>Female</t>
        </is>
      </c>
      <c r="J166" t="n">
        <v>16</v>
      </c>
      <c r="K166" t="inlineStr">
        <is>
          <t>(619) 227-8965</t>
        </is>
      </c>
      <c r="L166" t="inlineStr">
        <is>
          <t>daiseyphan441@gmail.com</t>
        </is>
      </c>
      <c r="M166" t="inlineStr">
        <is>
          <t>Volleyball</t>
        </is>
      </c>
      <c r="N166" t="inlineStr">
        <is>
          <t>Women</t>
        </is>
      </c>
      <c r="O166" t="inlineStr">
        <is>
          <t>Team</t>
        </is>
      </c>
      <c r="P166" t="inlineStr"/>
      <c r="Q166" t="inlineStr"/>
    </row>
    <row r="167">
      <c r="A167" t="inlineStr">
        <is>
          <t>PCC</t>
        </is>
      </c>
      <c r="B167" t="inlineStr">
        <is>
          <t>3615928</t>
        </is>
      </c>
      <c r="C167" t="inlineStr">
        <is>
          <t>98</t>
        </is>
      </c>
      <c r="D167" t="inlineStr">
        <is>
          <t>pending</t>
        </is>
      </c>
      <c r="E167" t="b">
        <v>1</v>
      </c>
      <c r="F167">
        <f>IMAGE("https://chmeetings.blob.core.windows.net/846969/attachments/yr8GQWRkaMhXEt644AUA/cc58517d-7f6e-43e7-b6eb-9441856782fb.jpg")</f>
        <v/>
      </c>
      <c r="G167" t="inlineStr">
        <is>
          <t>Aimy</t>
        </is>
      </c>
      <c r="H167" t="inlineStr">
        <is>
          <t>Thach</t>
        </is>
      </c>
      <c r="I167" t="inlineStr">
        <is>
          <t>Female</t>
        </is>
      </c>
      <c r="J167" t="n">
        <v>0</v>
      </c>
      <c r="K167" t="inlineStr">
        <is>
          <t>(619) 832-2469</t>
        </is>
      </c>
      <c r="L167" t="inlineStr">
        <is>
          <t>aimythach2008@gmail.com</t>
        </is>
      </c>
      <c r="M167" t="inlineStr">
        <is>
          <t>Volleyball</t>
        </is>
      </c>
      <c r="N167" t="inlineStr">
        <is>
          <t>Women</t>
        </is>
      </c>
      <c r="O167" t="inlineStr">
        <is>
          <t>Team</t>
        </is>
      </c>
      <c r="P167" t="inlineStr"/>
      <c r="Q167" t="inlineStr"/>
    </row>
    <row r="168">
      <c r="A168" t="inlineStr">
        <is>
          <t>PCC</t>
        </is>
      </c>
      <c r="B168" t="inlineStr">
        <is>
          <t>3615923</t>
        </is>
      </c>
      <c r="C168" t="inlineStr">
        <is>
          <t>95</t>
        </is>
      </c>
      <c r="D168" t="inlineStr">
        <is>
          <t>pending</t>
        </is>
      </c>
      <c r="E168" t="b">
        <v>1</v>
      </c>
      <c r="F168">
        <f>IMAGE("https://chmeetings.blob.core.windows.net/846969/attachments/IoPT5OC820MZ0J9W3iYjg/3b910098-b32e-4041-af82-6d4931dcb398.jpg")</f>
        <v/>
      </c>
      <c r="G168" t="inlineStr">
        <is>
          <t>Cammy</t>
        </is>
      </c>
      <c r="H168" t="inlineStr">
        <is>
          <t>Thach</t>
        </is>
      </c>
      <c r="I168" t="inlineStr">
        <is>
          <t>Female</t>
        </is>
      </c>
      <c r="J168" t="n">
        <v>16</v>
      </c>
      <c r="K168" t="inlineStr">
        <is>
          <t>(619) 512-2261</t>
        </is>
      </c>
      <c r="L168" t="inlineStr">
        <is>
          <t>cammythach2009@gmail.com</t>
        </is>
      </c>
      <c r="M168" t="inlineStr">
        <is>
          <t>Volleyball</t>
        </is>
      </c>
      <c r="N168" t="inlineStr">
        <is>
          <t>Women</t>
        </is>
      </c>
      <c r="O168" t="inlineStr">
        <is>
          <t>Team</t>
        </is>
      </c>
      <c r="P168" t="inlineStr"/>
      <c r="Q168" t="inlineStr"/>
    </row>
    <row r="169">
      <c r="A169" t="inlineStr">
        <is>
          <t>PCC</t>
        </is>
      </c>
      <c r="B169" t="inlineStr">
        <is>
          <t>3615939</t>
        </is>
      </c>
      <c r="C169" t="inlineStr">
        <is>
          <t>103</t>
        </is>
      </c>
      <c r="D169" t="inlineStr">
        <is>
          <t>pending</t>
        </is>
      </c>
      <c r="E169" t="b">
        <v>1</v>
      </c>
      <c r="F169">
        <f>IMAGE("https://chmeetings.blob.core.windows.net/846969/attachments/mM0gFFZvK0y4fHMGqX3qIA/e2efb60e-cb30-4d10-8462-78bce218d675.jpg")</f>
        <v/>
      </c>
      <c r="G169" t="inlineStr">
        <is>
          <t>Victoria</t>
        </is>
      </c>
      <c r="H169" t="inlineStr">
        <is>
          <t>Vuong</t>
        </is>
      </c>
      <c r="I169" t="inlineStr">
        <is>
          <t>Female</t>
        </is>
      </c>
      <c r="J169" t="n">
        <v>15</v>
      </c>
      <c r="K169" t="inlineStr">
        <is>
          <t>(858) 780-6524</t>
        </is>
      </c>
      <c r="L169" t="inlineStr">
        <is>
          <t>victoria.vuongg11@gmail.com</t>
        </is>
      </c>
      <c r="M169" t="inlineStr">
        <is>
          <t>Volleyball</t>
        </is>
      </c>
      <c r="N169" t="inlineStr">
        <is>
          <t>Women</t>
        </is>
      </c>
      <c r="O169" t="inlineStr">
        <is>
          <t>Team</t>
        </is>
      </c>
      <c r="P169" t="inlineStr"/>
      <c r="Q169" t="inlineStr"/>
    </row>
    <row r="170">
      <c r="A170" t="inlineStr">
        <is>
          <t>RPC</t>
        </is>
      </c>
      <c r="B170" t="inlineStr">
        <is>
          <t>3631500</t>
        </is>
      </c>
      <c r="C170" t="inlineStr">
        <is>
          <t>3</t>
        </is>
      </c>
      <c r="D170" t="inlineStr">
        <is>
          <t>approved</t>
        </is>
      </c>
      <c r="E170" t="b">
        <v>1</v>
      </c>
      <c r="F170">
        <f>IMAGE("https://chmeetings.blob.core.windows.net/846969/attachments/rifFK8C6ukaBd61Muax2zg/aa81b1ba-79c7-4fa6-95fe-b2e76e624195.jpg")</f>
        <v/>
      </c>
      <c r="G170" t="inlineStr">
        <is>
          <t>Thomas</t>
        </is>
      </c>
      <c r="H170" t="inlineStr">
        <is>
          <t>Chau</t>
        </is>
      </c>
      <c r="I170" t="inlineStr">
        <is>
          <t>Male</t>
        </is>
      </c>
      <c r="J170" t="n">
        <v>26</v>
      </c>
      <c r="K170" t="inlineStr">
        <is>
          <t>(626) 616-0320</t>
        </is>
      </c>
      <c r="L170" t="inlineStr">
        <is>
          <t>thomaschau2468@gmail.com</t>
        </is>
      </c>
      <c r="M170" t="inlineStr">
        <is>
          <t>Basketball</t>
        </is>
      </c>
      <c r="N170" t="inlineStr">
        <is>
          <t>Mixed</t>
        </is>
      </c>
      <c r="O170" t="inlineStr">
        <is>
          <t>Team</t>
        </is>
      </c>
      <c r="P170" t="inlineStr"/>
      <c r="Q170" t="inlineStr"/>
    </row>
    <row r="171">
      <c r="A171" t="inlineStr">
        <is>
          <t>RPC</t>
        </is>
      </c>
      <c r="B171" t="inlineStr">
        <is>
          <t>3139537</t>
        </is>
      </c>
      <c r="C171" t="inlineStr">
        <is>
          <t>1</t>
        </is>
      </c>
      <c r="D171" t="inlineStr">
        <is>
          <t>validated</t>
        </is>
      </c>
      <c r="E171" t="b">
        <v>1</v>
      </c>
      <c r="F171">
        <f>IMAGE("https://chmeetings.blob.core.windows.net/846969/attachments/SnpHAMwrs02Ca3FCo4ZWwQ/d2d98798-711b-4696-8295-52f9363648ed.jpg")</f>
        <v/>
      </c>
      <c r="G171" t="inlineStr">
        <is>
          <t>Timmy</t>
        </is>
      </c>
      <c r="H171" t="inlineStr">
        <is>
          <t>Ho</t>
        </is>
      </c>
      <c r="I171" t="inlineStr">
        <is>
          <t>Male</t>
        </is>
      </c>
      <c r="J171" t="n">
        <v>26</v>
      </c>
      <c r="K171" t="inlineStr">
        <is>
          <t>(714) 402-0871</t>
        </is>
      </c>
      <c r="L171" t="inlineStr">
        <is>
          <t>timmyho@gmail.com</t>
        </is>
      </c>
      <c r="M171" t="inlineStr">
        <is>
          <t>Basketball</t>
        </is>
      </c>
      <c r="N171" t="inlineStr">
        <is>
          <t>Mixed</t>
        </is>
      </c>
      <c r="O171" t="inlineStr">
        <is>
          <t>Team</t>
        </is>
      </c>
      <c r="P171" t="inlineStr"/>
      <c r="Q171" t="inlineStr"/>
    </row>
    <row r="172">
      <c r="A172" t="inlineStr">
        <is>
          <t>RPC</t>
        </is>
      </c>
      <c r="B172" t="inlineStr">
        <is>
          <t>3618011</t>
        </is>
      </c>
      <c r="C172" t="inlineStr">
        <is>
          <t>5</t>
        </is>
      </c>
      <c r="D172" t="inlineStr">
        <is>
          <t>pending_approval</t>
        </is>
      </c>
      <c r="E172" t="b">
        <v>0</v>
      </c>
      <c r="F172">
        <f>IMAGE("https://chmeetings.blob.core.windows.net/846969/attachments/6OVYqNsD0EIO2D8oWesg/01a47c45-de35-4b60-95bb-c6e2d14b9c31.jpg")</f>
        <v/>
      </c>
      <c r="G172" t="inlineStr">
        <is>
          <t>Daniel</t>
        </is>
      </c>
      <c r="H172" t="inlineStr">
        <is>
          <t>Kang</t>
        </is>
      </c>
      <c r="I172" t="inlineStr">
        <is>
          <t>Male</t>
        </is>
      </c>
      <c r="J172" t="n">
        <v>26</v>
      </c>
      <c r="K172" t="inlineStr">
        <is>
          <t>(510) 846-6754</t>
        </is>
      </c>
      <c r="L172" t="inlineStr">
        <is>
          <t>dkang1617@gmail.com</t>
        </is>
      </c>
      <c r="M172" t="inlineStr">
        <is>
          <t>Basketball</t>
        </is>
      </c>
      <c r="N172" t="inlineStr">
        <is>
          <t>Mixed</t>
        </is>
      </c>
      <c r="O172" t="inlineStr">
        <is>
          <t>Team</t>
        </is>
      </c>
      <c r="P172" t="inlineStr"/>
      <c r="Q172" t="inlineStr"/>
    </row>
    <row r="173">
      <c r="A173" t="inlineStr">
        <is>
          <t>RPC</t>
        </is>
      </c>
      <c r="B173" t="inlineStr">
        <is>
          <t>3623161</t>
        </is>
      </c>
      <c r="C173" t="inlineStr">
        <is>
          <t>73</t>
        </is>
      </c>
      <c r="D173" t="inlineStr">
        <is>
          <t>validated</t>
        </is>
      </c>
      <c r="E173" t="b">
        <v>1</v>
      </c>
      <c r="F173">
        <f>IMAGE("https://chmeetings.blob.core.windows.net/846969/attachments/zFu5Ye4YuEfPPzx7Tm6w/45aec502-759a-4cc4-ac10-f3507cc30551.jpg")</f>
        <v/>
      </c>
      <c r="G173" t="inlineStr">
        <is>
          <t>Dimitri</t>
        </is>
      </c>
      <c r="H173" t="inlineStr">
        <is>
          <t>Lam</t>
        </is>
      </c>
      <c r="I173" t="inlineStr">
        <is>
          <t>Male</t>
        </is>
      </c>
      <c r="J173" t="n">
        <v>24</v>
      </c>
      <c r="K173" t="inlineStr">
        <is>
          <t>(714) 204-9160</t>
        </is>
      </c>
      <c r="L173" t="inlineStr">
        <is>
          <t>Dimitrilam33@gmail.com</t>
        </is>
      </c>
      <c r="M173" t="inlineStr">
        <is>
          <t>Basketball</t>
        </is>
      </c>
      <c r="N173" t="inlineStr">
        <is>
          <t>Mixed</t>
        </is>
      </c>
      <c r="O173" t="inlineStr">
        <is>
          <t>Team</t>
        </is>
      </c>
      <c r="P173" t="inlineStr"/>
      <c r="Q173" t="inlineStr"/>
    </row>
    <row r="174">
      <c r="A174" t="inlineStr">
        <is>
          <t>RPC</t>
        </is>
      </c>
      <c r="B174" t="inlineStr">
        <is>
          <t>3618796</t>
        </is>
      </c>
      <c r="C174" t="inlineStr">
        <is>
          <t>7</t>
        </is>
      </c>
      <c r="D174" t="inlineStr">
        <is>
          <t>pending</t>
        </is>
      </c>
      <c r="E174" t="b">
        <v>1</v>
      </c>
      <c r="F174">
        <f>IMAGE("https://chmeetings.blob.core.windows.net/846969/attachments/6phgsjmFklfKzzU3ErQ/5e007272-27f7-4f8f-a466-456aac4cdea1.jpg")</f>
        <v/>
      </c>
      <c r="G174" t="inlineStr">
        <is>
          <t>Jacob</t>
        </is>
      </c>
      <c r="H174" t="inlineStr">
        <is>
          <t>Le</t>
        </is>
      </c>
      <c r="I174" t="inlineStr">
        <is>
          <t>Male</t>
        </is>
      </c>
      <c r="J174" t="n">
        <v>16</v>
      </c>
      <c r="K174" t="inlineStr">
        <is>
          <t>(714) 316-9141</t>
        </is>
      </c>
      <c r="L174" t="inlineStr">
        <is>
          <t>jacob.mle21@gmail.com</t>
        </is>
      </c>
      <c r="M174" t="inlineStr">
        <is>
          <t>Basketball</t>
        </is>
      </c>
      <c r="N174" t="inlineStr">
        <is>
          <t>Mixed</t>
        </is>
      </c>
      <c r="O174" t="inlineStr">
        <is>
          <t>Team</t>
        </is>
      </c>
      <c r="P174" t="inlineStr"/>
      <c r="Q174" t="inlineStr"/>
    </row>
    <row r="175">
      <c r="A175" t="inlineStr">
        <is>
          <t>RPC</t>
        </is>
      </c>
      <c r="B175" t="inlineStr">
        <is>
          <t>3555636</t>
        </is>
      </c>
      <c r="C175" t="inlineStr">
        <is>
          <t>8</t>
        </is>
      </c>
      <c r="D175" t="inlineStr">
        <is>
          <t>pending_approval</t>
        </is>
      </c>
      <c r="E175" t="b">
        <v>1</v>
      </c>
      <c r="F175">
        <f>IMAGE("https://chmeetings.blob.core.windows.net/846969/attachments/36FhCP1SVUOsQR7N2tJn1w/7ea62dc3-e494-43d3-847e-27ce2f1891cb.jpg")</f>
        <v/>
      </c>
      <c r="G175" t="inlineStr">
        <is>
          <t>James</t>
        </is>
      </c>
      <c r="H175" t="inlineStr">
        <is>
          <t>Nguyen</t>
        </is>
      </c>
      <c r="I175" t="inlineStr">
        <is>
          <t>Male</t>
        </is>
      </c>
      <c r="J175" t="n">
        <v>19</v>
      </c>
      <c r="K175" t="inlineStr">
        <is>
          <t>(657) 678-8212</t>
        </is>
      </c>
      <c r="L175" t="inlineStr">
        <is>
          <t>jamesthesplashdog12345678@gmail.com</t>
        </is>
      </c>
      <c r="M175" t="inlineStr">
        <is>
          <t>Basketball</t>
        </is>
      </c>
      <c r="N175" t="inlineStr">
        <is>
          <t>Mixed</t>
        </is>
      </c>
      <c r="O175" t="inlineStr">
        <is>
          <t>Team</t>
        </is>
      </c>
      <c r="P175" t="inlineStr"/>
      <c r="Q175" t="inlineStr"/>
    </row>
    <row r="176">
      <c r="A176" t="inlineStr">
        <is>
          <t>RPC</t>
        </is>
      </c>
      <c r="B176" t="inlineStr">
        <is>
          <t>4363698</t>
        </is>
      </c>
      <c r="C176" t="inlineStr">
        <is>
          <t>77</t>
        </is>
      </c>
      <c r="D176" t="inlineStr">
        <is>
          <t>pending</t>
        </is>
      </c>
      <c r="E176" t="b">
        <v>1</v>
      </c>
      <c r="F176">
        <f>IMAGE("https://chmeetings.blob.core.windows.net/846969/attachments/qIYHWe3q8U0gELP4AgMfQ/4133a14e-e156-4df5-b4ec-cabb071ccea9.jpg")</f>
        <v/>
      </c>
      <c r="G176" t="inlineStr">
        <is>
          <t>Thomas</t>
        </is>
      </c>
      <c r="H176" t="inlineStr">
        <is>
          <t>Phan</t>
        </is>
      </c>
      <c r="I176" t="inlineStr">
        <is>
          <t>Male</t>
        </is>
      </c>
      <c r="J176" t="n">
        <v>16</v>
      </c>
      <c r="K176" t="inlineStr">
        <is>
          <t>(714) 418-6964</t>
        </is>
      </c>
      <c r="L176" t="inlineStr">
        <is>
          <t>Phantomthomas31@gmail.com</t>
        </is>
      </c>
      <c r="M176" t="inlineStr">
        <is>
          <t>Basketball</t>
        </is>
      </c>
      <c r="N176" t="inlineStr">
        <is>
          <t>Mixed</t>
        </is>
      </c>
      <c r="O176" t="inlineStr">
        <is>
          <t>Team</t>
        </is>
      </c>
      <c r="P176" t="inlineStr"/>
      <c r="Q176" t="inlineStr"/>
    </row>
    <row r="177">
      <c r="A177" t="inlineStr">
        <is>
          <t>RPC</t>
        </is>
      </c>
      <c r="B177" t="inlineStr">
        <is>
          <t>3319105</t>
        </is>
      </c>
      <c r="C177" t="inlineStr">
        <is>
          <t>11</t>
        </is>
      </c>
      <c r="D177" t="inlineStr">
        <is>
          <t>validated</t>
        </is>
      </c>
      <c r="E177" t="b">
        <v>1</v>
      </c>
      <c r="F177">
        <f>IMAGE("https://chmeetings.blob.core.windows.net/846969/attachments/bVZcD2bP0St7ybRoDd4Q/2b49c12a-c936-4b98-ab99-8cdef0996409.jpg")</f>
        <v/>
      </c>
      <c r="G177" t="inlineStr">
        <is>
          <t>Khoi</t>
        </is>
      </c>
      <c r="H177" t="inlineStr">
        <is>
          <t>Quach</t>
        </is>
      </c>
      <c r="I177" t="inlineStr">
        <is>
          <t>Male</t>
        </is>
      </c>
      <c r="J177" t="n">
        <v>27</v>
      </c>
      <c r="K177" t="inlineStr">
        <is>
          <t>(626) 679-7802</t>
        </is>
      </c>
      <c r="L177" t="inlineStr">
        <is>
          <t>Kquach4706@gmail.com</t>
        </is>
      </c>
      <c r="M177" t="inlineStr">
        <is>
          <t>Basketball</t>
        </is>
      </c>
      <c r="N177" t="inlineStr">
        <is>
          <t>Mixed</t>
        </is>
      </c>
      <c r="O177" t="inlineStr">
        <is>
          <t>Team</t>
        </is>
      </c>
      <c r="P177" t="inlineStr"/>
      <c r="Q177" t="inlineStr"/>
    </row>
    <row r="178">
      <c r="A178" t="inlineStr">
        <is>
          <t>RPC</t>
        </is>
      </c>
      <c r="B178" t="inlineStr">
        <is>
          <t>3615935</t>
        </is>
      </c>
      <c r="C178" t="inlineStr">
        <is>
          <t>6</t>
        </is>
      </c>
      <c r="D178" t="inlineStr">
        <is>
          <t>pending_approval</t>
        </is>
      </c>
      <c r="E178" t="b">
        <v>1</v>
      </c>
      <c r="F178">
        <f>IMAGE("https://chmeetings.blob.core.windows.net/846969/attachments/WTqSOpU4yE2opCVCMF2sJQ/637a0ed2-2668-4583-ae97-66dbcfffa078.jpg")</f>
        <v/>
      </c>
      <c r="G178" t="inlineStr">
        <is>
          <t>Emily</t>
        </is>
      </c>
      <c r="H178" t="inlineStr">
        <is>
          <t>Duong</t>
        </is>
      </c>
      <c r="I178" t="inlineStr">
        <is>
          <t>Female</t>
        </is>
      </c>
      <c r="J178" t="n">
        <v>14</v>
      </c>
      <c r="K178" t="inlineStr">
        <is>
          <t>(714) 454-1390</t>
        </is>
      </c>
      <c r="L178" t="inlineStr">
        <is>
          <t>emilyduong411@gmail.com</t>
        </is>
      </c>
      <c r="M178" t="inlineStr">
        <is>
          <t>Bible Challenge</t>
        </is>
      </c>
      <c r="N178" t="inlineStr">
        <is>
          <t>Mixed</t>
        </is>
      </c>
      <c r="O178" t="inlineStr">
        <is>
          <t>Team</t>
        </is>
      </c>
      <c r="P178" t="inlineStr"/>
      <c r="Q178" t="inlineStr"/>
    </row>
    <row r="179">
      <c r="A179" t="inlineStr">
        <is>
          <t>RPC</t>
        </is>
      </c>
      <c r="B179" t="inlineStr">
        <is>
          <t>3319022</t>
        </is>
      </c>
      <c r="C179" t="inlineStr">
        <is>
          <t>72</t>
        </is>
      </c>
      <c r="D179" t="inlineStr">
        <is>
          <t>validated</t>
        </is>
      </c>
      <c r="E179" t="b">
        <v>1</v>
      </c>
      <c r="F179">
        <f>IMAGE("https://chmeetings.blob.core.windows.net/846969/attachments/wgs7ZEXaUeEkguHnHo1g/c1df6443-764d-4695-a9b9-0a02dd2360f6.jpg")</f>
        <v/>
      </c>
      <c r="G179" t="inlineStr">
        <is>
          <t>Dean</t>
        </is>
      </c>
      <c r="H179" t="inlineStr">
        <is>
          <t>Nguyen</t>
        </is>
      </c>
      <c r="I179" t="inlineStr">
        <is>
          <t>Male</t>
        </is>
      </c>
      <c r="J179" t="n">
        <v>23</v>
      </c>
      <c r="K179" t="inlineStr">
        <is>
          <t>(714) 955-7492</t>
        </is>
      </c>
      <c r="L179" t="inlineStr">
        <is>
          <t>Deanbao3132@gmail.com</t>
        </is>
      </c>
      <c r="M179" t="inlineStr">
        <is>
          <t>Pickleball</t>
        </is>
      </c>
      <c r="N179" t="inlineStr">
        <is>
          <t>Mixed</t>
        </is>
      </c>
      <c r="O179" t="inlineStr">
        <is>
          <t>Doubles</t>
        </is>
      </c>
      <c r="P179" t="inlineStr"/>
      <c r="Q179" t="inlineStr">
        <is>
          <t>Janice</t>
        </is>
      </c>
    </row>
    <row r="180">
      <c r="A180" t="inlineStr">
        <is>
          <t>RPC</t>
        </is>
      </c>
      <c r="B180" t="inlineStr">
        <is>
          <t>4363699</t>
        </is>
      </c>
      <c r="C180" t="inlineStr">
        <is>
          <t>75</t>
        </is>
      </c>
      <c r="D180" t="inlineStr">
        <is>
          <t>validated</t>
        </is>
      </c>
      <c r="E180" t="b">
        <v>0</v>
      </c>
      <c r="F180">
        <f>IMAGE("https://chmeetings.blob.core.windows.net/846969/attachments/O0mpFpTI5EuryRbrCKsw/37a73f2c-30f6-4c19-981f-aa31acc8d5a0.jpg")</f>
        <v/>
      </c>
      <c r="G180" t="inlineStr">
        <is>
          <t>Janice</t>
        </is>
      </c>
      <c r="H180" t="inlineStr">
        <is>
          <t>Vu</t>
        </is>
      </c>
      <c r="I180" t="inlineStr">
        <is>
          <t>Female</t>
        </is>
      </c>
      <c r="J180" t="n">
        <v>24</v>
      </c>
      <c r="K180" t="inlineStr">
        <is>
          <t>(714) 989-9158</t>
        </is>
      </c>
      <c r="L180" t="inlineStr">
        <is>
          <t>Janvu545@gmail.com</t>
        </is>
      </c>
      <c r="M180" t="inlineStr">
        <is>
          <t>Pickleball</t>
        </is>
      </c>
      <c r="N180" t="inlineStr">
        <is>
          <t>Mixed</t>
        </is>
      </c>
      <c r="O180" t="inlineStr">
        <is>
          <t>Doubles</t>
        </is>
      </c>
      <c r="P180" t="inlineStr"/>
      <c r="Q180" t="inlineStr"/>
    </row>
    <row r="181">
      <c r="A181" t="inlineStr">
        <is>
          <t>RPC</t>
        </is>
      </c>
      <c r="B181" t="inlineStr">
        <is>
          <t>3631500</t>
        </is>
      </c>
      <c r="C181" t="inlineStr">
        <is>
          <t>3</t>
        </is>
      </c>
      <c r="D181" t="inlineStr">
        <is>
          <t>approved</t>
        </is>
      </c>
      <c r="E181" t="b">
        <v>1</v>
      </c>
      <c r="F181">
        <f>IMAGE("https://chmeetings.blob.core.windows.net/846969/attachments/rifFK8C6ukaBd61Muax2zg/aa81b1ba-79c7-4fa6-95fe-b2e76e624195.jpg")</f>
        <v/>
      </c>
      <c r="G181" t="inlineStr">
        <is>
          <t>Thomas</t>
        </is>
      </c>
      <c r="H181" t="inlineStr">
        <is>
          <t>Chau</t>
        </is>
      </c>
      <c r="I181" t="inlineStr">
        <is>
          <t>Male</t>
        </is>
      </c>
      <c r="J181" t="n">
        <v>26</v>
      </c>
      <c r="K181" t="inlineStr">
        <is>
          <t>(626) 616-0320</t>
        </is>
      </c>
      <c r="L181" t="inlineStr">
        <is>
          <t>thomaschau2468@gmail.com</t>
        </is>
      </c>
      <c r="M181" t="inlineStr">
        <is>
          <t>Soccer - Coed Exhibition</t>
        </is>
      </c>
      <c r="N181" t="inlineStr">
        <is>
          <t>Mixed</t>
        </is>
      </c>
      <c r="O181" t="inlineStr">
        <is>
          <t>Team</t>
        </is>
      </c>
      <c r="P181" t="inlineStr"/>
      <c r="Q181" t="inlineStr"/>
    </row>
    <row r="182">
      <c r="A182" t="inlineStr">
        <is>
          <t>RPC</t>
        </is>
      </c>
      <c r="B182" t="inlineStr">
        <is>
          <t>3623161</t>
        </is>
      </c>
      <c r="C182" t="inlineStr">
        <is>
          <t>73</t>
        </is>
      </c>
      <c r="D182" t="inlineStr">
        <is>
          <t>validated</t>
        </is>
      </c>
      <c r="E182" t="b">
        <v>1</v>
      </c>
      <c r="F182">
        <f>IMAGE("https://chmeetings.blob.core.windows.net/846969/attachments/zFu5Ye4YuEfPPzx7Tm6w/45aec502-759a-4cc4-ac10-f3507cc30551.jpg")</f>
        <v/>
      </c>
      <c r="G182" t="inlineStr">
        <is>
          <t>Dimitri</t>
        </is>
      </c>
      <c r="H182" t="inlineStr">
        <is>
          <t>Lam</t>
        </is>
      </c>
      <c r="I182" t="inlineStr">
        <is>
          <t>Male</t>
        </is>
      </c>
      <c r="J182" t="n">
        <v>24</v>
      </c>
      <c r="K182" t="inlineStr">
        <is>
          <t>(714) 204-9160</t>
        </is>
      </c>
      <c r="L182" t="inlineStr">
        <is>
          <t>Dimitrilam33@gmail.com</t>
        </is>
      </c>
      <c r="M182" t="inlineStr">
        <is>
          <t>Soccer - Coed Exhibition</t>
        </is>
      </c>
      <c r="N182" t="inlineStr">
        <is>
          <t>Mixed</t>
        </is>
      </c>
      <c r="O182" t="inlineStr">
        <is>
          <t>Team</t>
        </is>
      </c>
      <c r="P182" t="inlineStr"/>
      <c r="Q182" t="inlineStr"/>
    </row>
    <row r="183">
      <c r="A183" t="inlineStr">
        <is>
          <t>RPC</t>
        </is>
      </c>
      <c r="B183" t="inlineStr">
        <is>
          <t>3555636</t>
        </is>
      </c>
      <c r="C183" t="inlineStr">
        <is>
          <t>8</t>
        </is>
      </c>
      <c r="D183" t="inlineStr">
        <is>
          <t>pending_approval</t>
        </is>
      </c>
      <c r="E183" t="b">
        <v>1</v>
      </c>
      <c r="F183">
        <f>IMAGE("https://chmeetings.blob.core.windows.net/846969/attachments/36FhCP1SVUOsQR7N2tJn1w/7ea62dc3-e494-43d3-847e-27ce2f1891cb.jpg")</f>
        <v/>
      </c>
      <c r="G183" t="inlineStr">
        <is>
          <t>James</t>
        </is>
      </c>
      <c r="H183" t="inlineStr">
        <is>
          <t>Nguyen</t>
        </is>
      </c>
      <c r="I183" t="inlineStr">
        <is>
          <t>Male</t>
        </is>
      </c>
      <c r="J183" t="n">
        <v>19</v>
      </c>
      <c r="K183" t="inlineStr">
        <is>
          <t>(657) 678-8212</t>
        </is>
      </c>
      <c r="L183" t="inlineStr">
        <is>
          <t>jamesthesplashdog12345678@gmail.com</t>
        </is>
      </c>
      <c r="M183" t="inlineStr">
        <is>
          <t>Table Tennis</t>
        </is>
      </c>
      <c r="N183" t="inlineStr">
        <is>
          <t>Men</t>
        </is>
      </c>
      <c r="O183" t="inlineStr">
        <is>
          <t>Singles</t>
        </is>
      </c>
      <c r="P183" t="inlineStr"/>
      <c r="Q183" t="inlineStr"/>
    </row>
    <row r="184">
      <c r="A184" t="inlineStr">
        <is>
          <t>RPC</t>
        </is>
      </c>
      <c r="B184" t="inlineStr">
        <is>
          <t>3636092</t>
        </is>
      </c>
      <c r="C184" t="inlineStr">
        <is>
          <t>76</t>
        </is>
      </c>
      <c r="D184" t="inlineStr">
        <is>
          <t>validated</t>
        </is>
      </c>
      <c r="E184" t="b">
        <v>1</v>
      </c>
      <c r="F184">
        <f>IMAGE("https://chmeetings.blob.core.windows.net/846969/attachments/QKmokAHgD0CRoagnLQrkgw/bafd016a-9ab5-4d54-abbf-d878d7795f2a.jpg")</f>
        <v/>
      </c>
      <c r="G184" t="inlineStr">
        <is>
          <t>jennifer</t>
        </is>
      </c>
      <c r="H184" t="inlineStr">
        <is>
          <t>ly</t>
        </is>
      </c>
      <c r="I184" t="inlineStr">
        <is>
          <t>Female</t>
        </is>
      </c>
      <c r="J184" t="n">
        <v>21</v>
      </c>
      <c r="K184" t="inlineStr">
        <is>
          <t>(714) 331-4416</t>
        </is>
      </c>
      <c r="L184" t="inlineStr">
        <is>
          <t>jefferly7899@gmail.com</t>
        </is>
      </c>
      <c r="M184" t="inlineStr">
        <is>
          <t>Table Tennis</t>
        </is>
      </c>
      <c r="N184" t="inlineStr">
        <is>
          <t>Women</t>
        </is>
      </c>
      <c r="O184" t="inlineStr">
        <is>
          <t>Singles</t>
        </is>
      </c>
      <c r="P184" t="inlineStr"/>
      <c r="Q184" t="inlineStr"/>
    </row>
    <row r="185">
      <c r="A185" t="inlineStr">
        <is>
          <t>RPC</t>
        </is>
      </c>
      <c r="B185" t="inlineStr">
        <is>
          <t>3622254</t>
        </is>
      </c>
      <c r="C185" t="inlineStr">
        <is>
          <t>12</t>
        </is>
      </c>
      <c r="D185" t="inlineStr">
        <is>
          <t>pending</t>
        </is>
      </c>
      <c r="E185" t="b">
        <v>1</v>
      </c>
      <c r="F185">
        <f>IMAGE("https://chmeetings.blob.core.windows.net/846969/attachments/5NJ5RbEedbMYhRHg3aQ/440e3a48-4f2e-43e2-a71d-52fd0fb16bed.jpg")</f>
        <v/>
      </c>
      <c r="G185" t="inlineStr">
        <is>
          <t>Serena</t>
        </is>
      </c>
      <c r="H185" t="inlineStr">
        <is>
          <t>Mai</t>
        </is>
      </c>
      <c r="I185" t="inlineStr">
        <is>
          <t>Female</t>
        </is>
      </c>
      <c r="J185" t="n">
        <v>15</v>
      </c>
      <c r="K185" t="inlineStr">
        <is>
          <t>(714) 873-5541</t>
        </is>
      </c>
      <c r="L185" t="inlineStr">
        <is>
          <t>Serenaquynhnga@gmail.com</t>
        </is>
      </c>
      <c r="M185" t="inlineStr">
        <is>
          <t>Tennis</t>
        </is>
      </c>
      <c r="N185" t="inlineStr">
        <is>
          <t>Mixed</t>
        </is>
      </c>
      <c r="O185" t="inlineStr">
        <is>
          <t>Team</t>
        </is>
      </c>
      <c r="P185" t="inlineStr"/>
      <c r="Q185" t="inlineStr"/>
    </row>
    <row r="186">
      <c r="A186" t="inlineStr">
        <is>
          <t>RPC</t>
        </is>
      </c>
      <c r="B186" t="inlineStr">
        <is>
          <t>3319022</t>
        </is>
      </c>
      <c r="C186" t="inlineStr">
        <is>
          <t>72</t>
        </is>
      </c>
      <c r="D186" t="inlineStr">
        <is>
          <t>validated</t>
        </is>
      </c>
      <c r="E186" t="b">
        <v>1</v>
      </c>
      <c r="F186">
        <f>IMAGE("https://chmeetings.blob.core.windows.net/846969/attachments/wgs7ZEXaUeEkguHnHo1g/c1df6443-764d-4695-a9b9-0a02dd2360f6.jpg")</f>
        <v/>
      </c>
      <c r="G186" t="inlineStr">
        <is>
          <t>Dean</t>
        </is>
      </c>
      <c r="H186" t="inlineStr">
        <is>
          <t>Nguyen</t>
        </is>
      </c>
      <c r="I186" t="inlineStr">
        <is>
          <t>Male</t>
        </is>
      </c>
      <c r="J186" t="n">
        <v>23</v>
      </c>
      <c r="K186" t="inlineStr">
        <is>
          <t>(714) 955-7492</t>
        </is>
      </c>
      <c r="L186" t="inlineStr">
        <is>
          <t>Deanbao3132@gmail.com</t>
        </is>
      </c>
      <c r="M186" t="inlineStr">
        <is>
          <t>Tennis</t>
        </is>
      </c>
      <c r="N186" t="inlineStr">
        <is>
          <t>Mixed</t>
        </is>
      </c>
      <c r="O186" t="inlineStr">
        <is>
          <t>Doubles</t>
        </is>
      </c>
      <c r="P186" t="inlineStr"/>
      <c r="Q186" t="inlineStr">
        <is>
          <t>Janice</t>
        </is>
      </c>
    </row>
    <row r="187">
      <c r="A187" t="inlineStr">
        <is>
          <t>RPC</t>
        </is>
      </c>
      <c r="B187" t="inlineStr">
        <is>
          <t>4363699</t>
        </is>
      </c>
      <c r="C187" t="inlineStr">
        <is>
          <t>75</t>
        </is>
      </c>
      <c r="D187" t="inlineStr">
        <is>
          <t>validated</t>
        </is>
      </c>
      <c r="E187" t="b">
        <v>0</v>
      </c>
      <c r="F187">
        <f>IMAGE("https://chmeetings.blob.core.windows.net/846969/attachments/O0mpFpTI5EuryRbrCKsw/37a73f2c-30f6-4c19-981f-aa31acc8d5a0.jpg")</f>
        <v/>
      </c>
      <c r="G187" t="inlineStr">
        <is>
          <t>Janice</t>
        </is>
      </c>
      <c r="H187" t="inlineStr">
        <is>
          <t>Vu</t>
        </is>
      </c>
      <c r="I187" t="inlineStr">
        <is>
          <t>Female</t>
        </is>
      </c>
      <c r="J187" t="n">
        <v>24</v>
      </c>
      <c r="K187" t="inlineStr">
        <is>
          <t>(714) 989-9158</t>
        </is>
      </c>
      <c r="L187" t="inlineStr">
        <is>
          <t>Janvu545@gmail.com</t>
        </is>
      </c>
      <c r="M187" t="inlineStr">
        <is>
          <t>Tennis</t>
        </is>
      </c>
      <c r="N187" t="inlineStr">
        <is>
          <t>Mixed</t>
        </is>
      </c>
      <c r="O187" t="inlineStr">
        <is>
          <t>Doubles</t>
        </is>
      </c>
      <c r="P187" t="inlineStr"/>
      <c r="Q187" t="inlineStr"/>
    </row>
    <row r="188">
      <c r="A188" t="inlineStr">
        <is>
          <t>RPC</t>
        </is>
      </c>
      <c r="B188" t="inlineStr">
        <is>
          <t>3628891</t>
        </is>
      </c>
      <c r="C188" t="inlineStr">
        <is>
          <t>70</t>
        </is>
      </c>
      <c r="D188" t="inlineStr">
        <is>
          <t>pending</t>
        </is>
      </c>
      <c r="E188" t="b">
        <v>1</v>
      </c>
      <c r="F188">
        <f>IMAGE("https://chmeetings.blob.core.windows.net/846969/attachments/qYsqyoFUWkOaQb5QUBES6g/603d1093-8a12-4fff-ab36-9128541811d0.jpg")</f>
        <v/>
      </c>
      <c r="G188" t="inlineStr">
        <is>
          <t>Aneesa</t>
        </is>
      </c>
      <c r="H188" t="inlineStr">
        <is>
          <t>Le</t>
        </is>
      </c>
      <c r="I188" t="inlineStr">
        <is>
          <t>Female</t>
        </is>
      </c>
      <c r="J188" t="n">
        <v>15</v>
      </c>
      <c r="K188" t="inlineStr">
        <is>
          <t>(562) 350-8879</t>
        </is>
      </c>
      <c r="L188" t="inlineStr">
        <is>
          <t>k10ale27@gmail.com</t>
        </is>
      </c>
      <c r="M188" t="inlineStr">
        <is>
          <t>Track &amp; Field</t>
        </is>
      </c>
      <c r="N188" t="inlineStr">
        <is>
          <t>Mixed</t>
        </is>
      </c>
      <c r="O188" t="inlineStr">
        <is>
          <t>Team</t>
        </is>
      </c>
      <c r="P188" t="inlineStr"/>
      <c r="Q188" t="inlineStr"/>
    </row>
    <row r="189">
      <c r="A189" t="inlineStr">
        <is>
          <t>RPC</t>
        </is>
      </c>
      <c r="B189" t="inlineStr">
        <is>
          <t>3618796</t>
        </is>
      </c>
      <c r="C189" t="inlineStr">
        <is>
          <t>7</t>
        </is>
      </c>
      <c r="D189" t="inlineStr">
        <is>
          <t>pending</t>
        </is>
      </c>
      <c r="E189" t="b">
        <v>1</v>
      </c>
      <c r="F189">
        <f>IMAGE("https://chmeetings.blob.core.windows.net/846969/attachments/6phgsjmFklfKzzU3ErQ/5e007272-27f7-4f8f-a466-456aac4cdea1.jpg")</f>
        <v/>
      </c>
      <c r="G189" t="inlineStr">
        <is>
          <t>Jacob</t>
        </is>
      </c>
      <c r="H189" t="inlineStr">
        <is>
          <t>Le</t>
        </is>
      </c>
      <c r="I189" t="inlineStr">
        <is>
          <t>Male</t>
        </is>
      </c>
      <c r="J189" t="n">
        <v>16</v>
      </c>
      <c r="K189" t="inlineStr">
        <is>
          <t>(714) 316-9141</t>
        </is>
      </c>
      <c r="L189" t="inlineStr">
        <is>
          <t>jacob.mle21@gmail.com</t>
        </is>
      </c>
      <c r="M189" t="inlineStr">
        <is>
          <t>Track &amp; Field</t>
        </is>
      </c>
      <c r="N189" t="inlineStr">
        <is>
          <t>Mixed</t>
        </is>
      </c>
      <c r="O189" t="inlineStr">
        <is>
          <t>Team</t>
        </is>
      </c>
      <c r="P189" t="inlineStr"/>
      <c r="Q189" t="inlineStr"/>
    </row>
    <row r="190">
      <c r="A190" t="inlineStr">
        <is>
          <t>RPC</t>
        </is>
      </c>
      <c r="B190" t="inlineStr">
        <is>
          <t>3318927</t>
        </is>
      </c>
      <c r="C190" t="inlineStr">
        <is>
          <t>2</t>
        </is>
      </c>
      <c r="D190" t="inlineStr">
        <is>
          <t>pending_approval</t>
        </is>
      </c>
      <c r="E190" t="b">
        <v>1</v>
      </c>
      <c r="F190">
        <f>IMAGE("https://chmeetings.blob.core.windows.net/846969/attachments/Uf6oqihlIUGVO0UxdqT5Ow/6463a74d-f560-4dd7-950a-48411d288e1b.jpg")</f>
        <v/>
      </c>
      <c r="G190" t="inlineStr">
        <is>
          <t>Sam</t>
        </is>
      </c>
      <c r="H190" t="inlineStr">
        <is>
          <t>Le</t>
        </is>
      </c>
      <c r="I190" t="inlineStr">
        <is>
          <t>Male</t>
        </is>
      </c>
      <c r="J190" t="n">
        <v>32</v>
      </c>
      <c r="K190" t="inlineStr">
        <is>
          <t>(562) 519-9430</t>
        </is>
      </c>
      <c r="L190" t="inlineStr">
        <is>
          <t>samuel93le@yahoo.com</t>
        </is>
      </c>
      <c r="M190" t="inlineStr">
        <is>
          <t>Track &amp; Field</t>
        </is>
      </c>
      <c r="N190" t="inlineStr">
        <is>
          <t>Mixed</t>
        </is>
      </c>
      <c r="O190" t="inlineStr">
        <is>
          <t>Team</t>
        </is>
      </c>
      <c r="P190" t="inlineStr"/>
      <c r="Q190" t="inlineStr"/>
    </row>
    <row r="191">
      <c r="A191" t="inlineStr">
        <is>
          <t>RPC</t>
        </is>
      </c>
      <c r="B191" t="inlineStr">
        <is>
          <t>3318764</t>
        </is>
      </c>
      <c r="C191" t="inlineStr">
        <is>
          <t>9</t>
        </is>
      </c>
      <c r="D191" t="inlineStr">
        <is>
          <t>pending_approval</t>
        </is>
      </c>
      <c r="E191" t="b">
        <v>1</v>
      </c>
      <c r="F191">
        <f>IMAGE("https://chmeetings.blob.core.windows.net/846969/attachments/DoMq9dPmUUu8Q1z673WgQ/e87ffaee-015f-4989-96f9-da9736b2ff43.jpg")</f>
        <v/>
      </c>
      <c r="G191" t="inlineStr">
        <is>
          <t>Johnny</t>
        </is>
      </c>
      <c r="H191" t="inlineStr">
        <is>
          <t>Nguyen</t>
        </is>
      </c>
      <c r="I191" t="inlineStr">
        <is>
          <t>Male</t>
        </is>
      </c>
      <c r="J191" t="n">
        <v>17</v>
      </c>
      <c r="K191" t="inlineStr">
        <is>
          <t>(714) 585-4961</t>
        </is>
      </c>
      <c r="L191" t="inlineStr">
        <is>
          <t>junnynewinn@gmail.com</t>
        </is>
      </c>
      <c r="M191" t="inlineStr">
        <is>
          <t>Track &amp; Field</t>
        </is>
      </c>
      <c r="N191" t="inlineStr">
        <is>
          <t>Mixed</t>
        </is>
      </c>
      <c r="O191" t="inlineStr">
        <is>
          <t>Team</t>
        </is>
      </c>
      <c r="P191" t="inlineStr"/>
      <c r="Q191" t="inlineStr"/>
    </row>
    <row r="192">
      <c r="A192" t="inlineStr">
        <is>
          <t>RPC</t>
        </is>
      </c>
      <c r="B192" t="inlineStr">
        <is>
          <t>3139537</t>
        </is>
      </c>
      <c r="C192" t="inlineStr">
        <is>
          <t>1</t>
        </is>
      </c>
      <c r="D192" t="inlineStr">
        <is>
          <t>validated</t>
        </is>
      </c>
      <c r="E192" t="b">
        <v>1</v>
      </c>
      <c r="F192">
        <f>IMAGE("https://chmeetings.blob.core.windows.net/846969/attachments/SnpHAMwrs02Ca3FCo4ZWwQ/d2d98798-711b-4696-8295-52f9363648ed.jpg")</f>
        <v/>
      </c>
      <c r="G192" t="inlineStr">
        <is>
          <t>Timmy</t>
        </is>
      </c>
      <c r="H192" t="inlineStr">
        <is>
          <t>Ho</t>
        </is>
      </c>
      <c r="I192" t="inlineStr">
        <is>
          <t>Male</t>
        </is>
      </c>
      <c r="J192" t="n">
        <v>26</v>
      </c>
      <c r="K192" t="inlineStr">
        <is>
          <t>(714) 402-0871</t>
        </is>
      </c>
      <c r="L192" t="inlineStr">
        <is>
          <t>timmyho@gmail.com</t>
        </is>
      </c>
      <c r="M192" t="inlineStr">
        <is>
          <t>Volleyball</t>
        </is>
      </c>
      <c r="N192" t="inlineStr">
        <is>
          <t>Men</t>
        </is>
      </c>
      <c r="O192" t="inlineStr">
        <is>
          <t>Team</t>
        </is>
      </c>
      <c r="P192" t="inlineStr"/>
      <c r="Q192" t="inlineStr"/>
    </row>
    <row r="193">
      <c r="A193" t="inlineStr">
        <is>
          <t>RPC</t>
        </is>
      </c>
      <c r="B193" t="inlineStr">
        <is>
          <t>3618011</t>
        </is>
      </c>
      <c r="C193" t="inlineStr">
        <is>
          <t>5</t>
        </is>
      </c>
      <c r="D193" t="inlineStr">
        <is>
          <t>pending_approval</t>
        </is>
      </c>
      <c r="E193" t="b">
        <v>0</v>
      </c>
      <c r="F193">
        <f>IMAGE("https://chmeetings.blob.core.windows.net/846969/attachments/6OVYqNsD0EIO2D8oWesg/01a47c45-de35-4b60-95bb-c6e2d14b9c31.jpg")</f>
        <v/>
      </c>
      <c r="G193" t="inlineStr">
        <is>
          <t>Daniel</t>
        </is>
      </c>
      <c r="H193" t="inlineStr">
        <is>
          <t>Kang</t>
        </is>
      </c>
      <c r="I193" t="inlineStr">
        <is>
          <t>Male</t>
        </is>
      </c>
      <c r="J193" t="n">
        <v>26</v>
      </c>
      <c r="K193" t="inlineStr">
        <is>
          <t>(510) 846-6754</t>
        </is>
      </c>
      <c r="L193" t="inlineStr">
        <is>
          <t>dkang1617@gmail.com</t>
        </is>
      </c>
      <c r="M193" t="inlineStr">
        <is>
          <t>Volleyball</t>
        </is>
      </c>
      <c r="N193" t="inlineStr">
        <is>
          <t>Men</t>
        </is>
      </c>
      <c r="O193" t="inlineStr">
        <is>
          <t>Team</t>
        </is>
      </c>
      <c r="P193" t="inlineStr"/>
      <c r="Q193" t="inlineStr"/>
    </row>
    <row r="194">
      <c r="A194" t="inlineStr">
        <is>
          <t>RPC</t>
        </is>
      </c>
      <c r="B194" t="inlineStr">
        <is>
          <t>3623161</t>
        </is>
      </c>
      <c r="C194" t="inlineStr">
        <is>
          <t>73</t>
        </is>
      </c>
      <c r="D194" t="inlineStr">
        <is>
          <t>validated</t>
        </is>
      </c>
      <c r="E194" t="b">
        <v>1</v>
      </c>
      <c r="F194">
        <f>IMAGE("https://chmeetings.blob.core.windows.net/846969/attachments/zFu5Ye4YuEfPPzx7Tm6w/45aec502-759a-4cc4-ac10-f3507cc30551.jpg")</f>
        <v/>
      </c>
      <c r="G194" t="inlineStr">
        <is>
          <t>Dimitri</t>
        </is>
      </c>
      <c r="H194" t="inlineStr">
        <is>
          <t>Lam</t>
        </is>
      </c>
      <c r="I194" t="inlineStr">
        <is>
          <t>Male</t>
        </is>
      </c>
      <c r="J194" t="n">
        <v>24</v>
      </c>
      <c r="K194" t="inlineStr">
        <is>
          <t>(714) 204-9160</t>
        </is>
      </c>
      <c r="L194" t="inlineStr">
        <is>
          <t>Dimitrilam33@gmail.com</t>
        </is>
      </c>
      <c r="M194" t="inlineStr">
        <is>
          <t>Volleyball</t>
        </is>
      </c>
      <c r="N194" t="inlineStr">
        <is>
          <t>Men</t>
        </is>
      </c>
      <c r="O194" t="inlineStr">
        <is>
          <t>Team</t>
        </is>
      </c>
      <c r="P194" t="inlineStr"/>
      <c r="Q194" t="inlineStr"/>
    </row>
    <row r="195">
      <c r="A195" t="inlineStr">
        <is>
          <t>RPC</t>
        </is>
      </c>
      <c r="B195" t="inlineStr">
        <is>
          <t>4361920</t>
        </is>
      </c>
      <c r="C195" t="inlineStr">
        <is>
          <t>4</t>
        </is>
      </c>
      <c r="D195" t="inlineStr">
        <is>
          <t>pending</t>
        </is>
      </c>
      <c r="E195" t="b">
        <v>1</v>
      </c>
      <c r="F195">
        <f>IMAGE("https://chmeetings.blob.core.windows.net/846969/attachments/zwMnI3u99EOiML1Vo709lQ/e06bce6f-c69c-4e5b-aeb1-11312d8fd0dd.jpg")</f>
        <v/>
      </c>
      <c r="G195" t="inlineStr">
        <is>
          <t>Ayden</t>
        </is>
      </c>
      <c r="H195" t="inlineStr">
        <is>
          <t>Luu</t>
        </is>
      </c>
      <c r="I195" t="inlineStr">
        <is>
          <t>Male</t>
        </is>
      </c>
      <c r="J195" t="n">
        <v>17</v>
      </c>
      <c r="K195" t="inlineStr">
        <is>
          <t>(714) 719-8452</t>
        </is>
      </c>
      <c r="L195" t="inlineStr">
        <is>
          <t>luuayden@gmail.com</t>
        </is>
      </c>
      <c r="M195" t="inlineStr">
        <is>
          <t>Volleyball</t>
        </is>
      </c>
      <c r="N195" t="inlineStr">
        <is>
          <t>Men</t>
        </is>
      </c>
      <c r="O195" t="inlineStr">
        <is>
          <t>Team</t>
        </is>
      </c>
      <c r="P195" t="inlineStr"/>
      <c r="Q195" t="inlineStr"/>
    </row>
    <row r="196">
      <c r="A196" t="inlineStr">
        <is>
          <t>RPC</t>
        </is>
      </c>
      <c r="B196" t="inlineStr">
        <is>
          <t>3318764</t>
        </is>
      </c>
      <c r="C196" t="inlineStr">
        <is>
          <t>9</t>
        </is>
      </c>
      <c r="D196" t="inlineStr">
        <is>
          <t>pending_approval</t>
        </is>
      </c>
      <c r="E196" t="b">
        <v>1</v>
      </c>
      <c r="F196">
        <f>IMAGE("https://chmeetings.blob.core.windows.net/846969/attachments/DoMq9dPmUUu8Q1z673WgQ/e87ffaee-015f-4989-96f9-da9736b2ff43.jpg")</f>
        <v/>
      </c>
      <c r="G196" t="inlineStr">
        <is>
          <t>Johnny</t>
        </is>
      </c>
      <c r="H196" t="inlineStr">
        <is>
          <t>Nguyen</t>
        </is>
      </c>
      <c r="I196" t="inlineStr">
        <is>
          <t>Male</t>
        </is>
      </c>
      <c r="J196" t="n">
        <v>17</v>
      </c>
      <c r="K196" t="inlineStr">
        <is>
          <t>(714) 585-4961</t>
        </is>
      </c>
      <c r="L196" t="inlineStr">
        <is>
          <t>junnynewinn@gmail.com</t>
        </is>
      </c>
      <c r="M196" t="inlineStr">
        <is>
          <t>Volleyball</t>
        </is>
      </c>
      <c r="N196" t="inlineStr">
        <is>
          <t>Men</t>
        </is>
      </c>
      <c r="O196" t="inlineStr">
        <is>
          <t>Team</t>
        </is>
      </c>
      <c r="P196" t="inlineStr"/>
      <c r="Q196" t="inlineStr"/>
    </row>
    <row r="197">
      <c r="A197" t="inlineStr">
        <is>
          <t>RPC</t>
        </is>
      </c>
      <c r="B197" t="inlineStr">
        <is>
          <t>4363694</t>
        </is>
      </c>
      <c r="C197" t="inlineStr">
        <is>
          <t>74</t>
        </is>
      </c>
      <c r="D197" t="inlineStr">
        <is>
          <t>pending</t>
        </is>
      </c>
      <c r="E197" t="b">
        <v>0</v>
      </c>
      <c r="F197">
        <f>IMAGE("https://chmeetings.blob.core.windows.net/846969/attachments/crHhsVMlEkaqRf4RUhCow/d1e5e08d-8777-4bc6-9d04-9b585c7f3def.jpg")</f>
        <v/>
      </c>
      <c r="G197" t="inlineStr">
        <is>
          <t>Garrett</t>
        </is>
      </c>
      <c r="H197" t="inlineStr">
        <is>
          <t>Wong</t>
        </is>
      </c>
      <c r="I197" t="inlineStr">
        <is>
          <t>Male</t>
        </is>
      </c>
      <c r="J197" t="n">
        <v>17</v>
      </c>
      <c r="K197" t="inlineStr">
        <is>
          <t>(714) 824-7164</t>
        </is>
      </c>
      <c r="L197" t="inlineStr">
        <is>
          <t>gdog121107@gmail.com</t>
        </is>
      </c>
      <c r="M197" t="inlineStr">
        <is>
          <t>Volleyball</t>
        </is>
      </c>
      <c r="N197" t="inlineStr">
        <is>
          <t>Men</t>
        </is>
      </c>
      <c r="O197" t="inlineStr">
        <is>
          <t>Team</t>
        </is>
      </c>
      <c r="P197" t="inlineStr"/>
      <c r="Q197" t="inlineStr"/>
    </row>
    <row r="198">
      <c r="A198" t="inlineStr">
        <is>
          <t>RPC</t>
        </is>
      </c>
      <c r="B198" t="inlineStr">
        <is>
          <t>3615935</t>
        </is>
      </c>
      <c r="C198" t="inlineStr">
        <is>
          <t>6</t>
        </is>
      </c>
      <c r="D198" t="inlineStr">
        <is>
          <t>pending_approval</t>
        </is>
      </c>
      <c r="E198" t="b">
        <v>1</v>
      </c>
      <c r="F198">
        <f>IMAGE("https://chmeetings.blob.core.windows.net/846969/attachments/WTqSOpU4yE2opCVCMF2sJQ/637a0ed2-2668-4583-ae97-66dbcfffa078.jpg")</f>
        <v/>
      </c>
      <c r="G198" t="inlineStr">
        <is>
          <t>Emily</t>
        </is>
      </c>
      <c r="H198" t="inlineStr">
        <is>
          <t>Duong</t>
        </is>
      </c>
      <c r="I198" t="inlineStr">
        <is>
          <t>Female</t>
        </is>
      </c>
      <c r="J198" t="n">
        <v>14</v>
      </c>
      <c r="K198" t="inlineStr">
        <is>
          <t>(714) 454-1390</t>
        </is>
      </c>
      <c r="L198" t="inlineStr">
        <is>
          <t>emilyduong411@gmail.com</t>
        </is>
      </c>
      <c r="M198" t="inlineStr">
        <is>
          <t>Volleyball</t>
        </is>
      </c>
      <c r="N198" t="inlineStr">
        <is>
          <t>Women</t>
        </is>
      </c>
      <c r="O198" t="inlineStr">
        <is>
          <t>Team</t>
        </is>
      </c>
      <c r="P198" t="inlineStr"/>
      <c r="Q198" t="inlineStr"/>
    </row>
    <row r="199">
      <c r="A199" t="inlineStr">
        <is>
          <t>RPC</t>
        </is>
      </c>
      <c r="B199" t="inlineStr">
        <is>
          <t>3628891</t>
        </is>
      </c>
      <c r="C199" t="inlineStr">
        <is>
          <t>70</t>
        </is>
      </c>
      <c r="D199" t="inlineStr">
        <is>
          <t>pending</t>
        </is>
      </c>
      <c r="E199" t="b">
        <v>1</v>
      </c>
      <c r="F199">
        <f>IMAGE("https://chmeetings.blob.core.windows.net/846969/attachments/qYsqyoFUWkOaQb5QUBES6g/603d1093-8a12-4fff-ab36-9128541811d0.jpg")</f>
        <v/>
      </c>
      <c r="G199" t="inlineStr">
        <is>
          <t>Aneesa</t>
        </is>
      </c>
      <c r="H199" t="inlineStr">
        <is>
          <t>Le</t>
        </is>
      </c>
      <c r="I199" t="inlineStr">
        <is>
          <t>Female</t>
        </is>
      </c>
      <c r="J199" t="n">
        <v>15</v>
      </c>
      <c r="K199" t="inlineStr">
        <is>
          <t>(562) 350-8879</t>
        </is>
      </c>
      <c r="L199" t="inlineStr">
        <is>
          <t>k10ale27@gmail.com</t>
        </is>
      </c>
      <c r="M199" t="inlineStr">
        <is>
          <t>Volleyball</t>
        </is>
      </c>
      <c r="N199" t="inlineStr">
        <is>
          <t>Women</t>
        </is>
      </c>
      <c r="O199" t="inlineStr">
        <is>
          <t>Team</t>
        </is>
      </c>
      <c r="P199" t="inlineStr"/>
      <c r="Q199" t="inlineStr"/>
    </row>
    <row r="200">
      <c r="A200" t="inlineStr">
        <is>
          <t>RPC</t>
        </is>
      </c>
      <c r="B200" t="inlineStr">
        <is>
          <t>3622254</t>
        </is>
      </c>
      <c r="C200" t="inlineStr">
        <is>
          <t>12</t>
        </is>
      </c>
      <c r="D200" t="inlineStr">
        <is>
          <t>pending</t>
        </is>
      </c>
      <c r="E200" t="b">
        <v>1</v>
      </c>
      <c r="F200">
        <f>IMAGE("https://chmeetings.blob.core.windows.net/846969/attachments/5NJ5RbEedbMYhRHg3aQ/440e3a48-4f2e-43e2-a71d-52fd0fb16bed.jpg")</f>
        <v/>
      </c>
      <c r="G200" t="inlineStr">
        <is>
          <t>Serena</t>
        </is>
      </c>
      <c r="H200" t="inlineStr">
        <is>
          <t>Mai</t>
        </is>
      </c>
      <c r="I200" t="inlineStr">
        <is>
          <t>Female</t>
        </is>
      </c>
      <c r="J200" t="n">
        <v>15</v>
      </c>
      <c r="K200" t="inlineStr">
        <is>
          <t>(714) 873-5541</t>
        </is>
      </c>
      <c r="L200" t="inlineStr">
        <is>
          <t>Serenaquynhnga@gmail.com</t>
        </is>
      </c>
      <c r="M200" t="inlineStr">
        <is>
          <t>Volleyball</t>
        </is>
      </c>
      <c r="N200" t="inlineStr">
        <is>
          <t>Women</t>
        </is>
      </c>
      <c r="O200" t="inlineStr">
        <is>
          <t>Team</t>
        </is>
      </c>
      <c r="P200" t="inlineStr"/>
      <c r="Q200" t="inlineStr"/>
    </row>
    <row r="201">
      <c r="A201" t="inlineStr">
        <is>
          <t>RPC</t>
        </is>
      </c>
      <c r="B201" t="inlineStr">
        <is>
          <t>3631136</t>
        </is>
      </c>
      <c r="C201" t="inlineStr">
        <is>
          <t>71</t>
        </is>
      </c>
      <c r="D201" t="inlineStr">
        <is>
          <t>pending</t>
        </is>
      </c>
      <c r="E201" t="b">
        <v>1</v>
      </c>
      <c r="F201">
        <f>IMAGE("https://chmeetings.blob.core.windows.net/846969/attachments/Iv2VhaKKwkaFaBpP8S2ag/cac9b249-47a7-41a5-867f-c28bdfaebd54.jpg")</f>
        <v/>
      </c>
      <c r="G201" t="inlineStr">
        <is>
          <t>Celine</t>
        </is>
      </c>
      <c r="H201" t="inlineStr">
        <is>
          <t>Nguyen</t>
        </is>
      </c>
      <c r="I201" t="inlineStr">
        <is>
          <t>Female</t>
        </is>
      </c>
      <c r="J201" t="n">
        <v>14</v>
      </c>
      <c r="K201" t="inlineStr">
        <is>
          <t>16573345295</t>
        </is>
      </c>
      <c r="L201" t="inlineStr">
        <is>
          <t>celineng0417@gmail.com</t>
        </is>
      </c>
      <c r="M201" t="inlineStr">
        <is>
          <t>Volleyball</t>
        </is>
      </c>
      <c r="N201" t="inlineStr">
        <is>
          <t>Women</t>
        </is>
      </c>
      <c r="O201" t="inlineStr">
        <is>
          <t>Team</t>
        </is>
      </c>
      <c r="P201" t="inlineStr"/>
      <c r="Q201" t="inlineStr"/>
    </row>
    <row r="202">
      <c r="A202" t="inlineStr">
        <is>
          <t>RPC</t>
        </is>
      </c>
      <c r="B202" t="inlineStr">
        <is>
          <t>3623153</t>
        </is>
      </c>
      <c r="C202" t="inlineStr">
        <is>
          <t>10</t>
        </is>
      </c>
      <c r="D202" t="inlineStr">
        <is>
          <t>pending</t>
        </is>
      </c>
      <c r="E202" t="b">
        <v>1</v>
      </c>
      <c r="F202">
        <f>IMAGE("https://chmeetings.blob.core.windows.net/846969/attachments/uRGnrO7OUSC9u9A8qI6Ew/6d913fcf-92fa-46db-92ed-660ade1d2be9.jpg")</f>
        <v/>
      </c>
      <c r="G202" t="inlineStr">
        <is>
          <t>Julianna</t>
        </is>
      </c>
      <c r="H202" t="inlineStr">
        <is>
          <t>Ramirez</t>
        </is>
      </c>
      <c r="I202" t="inlineStr">
        <is>
          <t>Female</t>
        </is>
      </c>
      <c r="J202" t="n">
        <v>15</v>
      </c>
      <c r="K202" t="inlineStr">
        <is>
          <t>(310) 927-2810</t>
        </is>
      </c>
      <c r="L202" t="inlineStr">
        <is>
          <t>jframirez3911@gmail.com</t>
        </is>
      </c>
      <c r="M202" t="inlineStr">
        <is>
          <t>Volleyball</t>
        </is>
      </c>
      <c r="N202" t="inlineStr">
        <is>
          <t>Women</t>
        </is>
      </c>
      <c r="O202" t="inlineStr">
        <is>
          <t>Team</t>
        </is>
      </c>
      <c r="P202" t="inlineStr"/>
      <c r="Q202" t="inlineStr"/>
    </row>
    <row r="203">
      <c r="A203" t="inlineStr">
        <is>
          <t>RPC</t>
        </is>
      </c>
      <c r="B203" t="inlineStr">
        <is>
          <t>3636092</t>
        </is>
      </c>
      <c r="C203" t="inlineStr">
        <is>
          <t>76</t>
        </is>
      </c>
      <c r="D203" t="inlineStr">
        <is>
          <t>validated</t>
        </is>
      </c>
      <c r="E203" t="b">
        <v>1</v>
      </c>
      <c r="F203">
        <f>IMAGE("https://chmeetings.blob.core.windows.net/846969/attachments/QKmokAHgD0CRoagnLQrkgw/bafd016a-9ab5-4d54-abbf-d878d7795f2a.jpg")</f>
        <v/>
      </c>
      <c r="G203" t="inlineStr">
        <is>
          <t>jennifer</t>
        </is>
      </c>
      <c r="H203" t="inlineStr">
        <is>
          <t>ly</t>
        </is>
      </c>
      <c r="I203" t="inlineStr">
        <is>
          <t>Female</t>
        </is>
      </c>
      <c r="J203" t="n">
        <v>21</v>
      </c>
      <c r="K203" t="inlineStr">
        <is>
          <t>(714) 331-4416</t>
        </is>
      </c>
      <c r="L203" t="inlineStr">
        <is>
          <t>jefferly7899@gmail.com</t>
        </is>
      </c>
      <c r="M203" t="inlineStr">
        <is>
          <t>Volleyball</t>
        </is>
      </c>
      <c r="N203" t="inlineStr">
        <is>
          <t>Women</t>
        </is>
      </c>
      <c r="O203" t="inlineStr">
        <is>
          <t>Team</t>
        </is>
      </c>
      <c r="P203" t="inlineStr"/>
      <c r="Q203" t="inlineStr"/>
    </row>
    <row r="204">
      <c r="A204" t="inlineStr">
        <is>
          <t>SDC</t>
        </is>
      </c>
      <c r="B204" t="inlineStr">
        <is>
          <t>4361930</t>
        </is>
      </c>
      <c r="C204" t="inlineStr">
        <is>
          <t>24</t>
        </is>
      </c>
      <c r="D204" t="inlineStr">
        <is>
          <t>validated</t>
        </is>
      </c>
      <c r="E204" t="b">
        <v>1</v>
      </c>
      <c r="F204">
        <f>IMAGE("https://chmeetings.blob.core.windows.net/846969/attachments/TkKY4kXMsECC0RXzudZ5tA/b84f2b40-fd84-416f-b1fe-87a8d863a84b.jpg")</f>
        <v/>
      </c>
      <c r="G204" t="inlineStr">
        <is>
          <t>Quang</t>
        </is>
      </c>
      <c r="H204" t="inlineStr">
        <is>
          <t>Duong</t>
        </is>
      </c>
      <c r="I204" t="inlineStr">
        <is>
          <t>Male</t>
        </is>
      </c>
      <c r="J204" t="n">
        <v>24</v>
      </c>
      <c r="K204" t="inlineStr">
        <is>
          <t>(619) 638-9596</t>
        </is>
      </c>
      <c r="L204" t="inlineStr">
        <is>
          <t>Qduong2605@gmail.com</t>
        </is>
      </c>
      <c r="M204" t="inlineStr">
        <is>
          <t>Badminton</t>
        </is>
      </c>
      <c r="N204" t="inlineStr">
        <is>
          <t>Men</t>
        </is>
      </c>
      <c r="O204" t="inlineStr">
        <is>
          <t>Doubles</t>
        </is>
      </c>
      <c r="P204" t="inlineStr"/>
      <c r="Q204" t="inlineStr">
        <is>
          <t>Tri Nguyen</t>
        </is>
      </c>
    </row>
    <row r="205">
      <c r="A205" t="inlineStr">
        <is>
          <t>SDC</t>
        </is>
      </c>
      <c r="B205" t="inlineStr">
        <is>
          <t>3476582</t>
        </is>
      </c>
      <c r="C205" t="inlineStr">
        <is>
          <t>25</t>
        </is>
      </c>
      <c r="D205" t="inlineStr">
        <is>
          <t>validated</t>
        </is>
      </c>
      <c r="E205" t="b">
        <v>1</v>
      </c>
      <c r="F205">
        <f>IMAGE("https://chmeetings.blob.core.windows.net/846969/attachments/Pnw3aHD5hEqlDsZTqeNkA/461b41a2-6769-490c-a301-c265e90ad64e.jpg")</f>
        <v/>
      </c>
      <c r="G205" t="inlineStr">
        <is>
          <t>Viet</t>
        </is>
      </c>
      <c r="H205" t="inlineStr">
        <is>
          <t>Duong</t>
        </is>
      </c>
      <c r="I205" t="inlineStr">
        <is>
          <t>Male</t>
        </is>
      </c>
      <c r="J205" t="n">
        <v>25</v>
      </c>
      <c r="K205" t="inlineStr">
        <is>
          <t>(619) 227-8495</t>
        </is>
      </c>
      <c r="L205" t="inlineStr">
        <is>
          <t>vietduong152205@gmail.com</t>
        </is>
      </c>
      <c r="M205" t="inlineStr">
        <is>
          <t>Badminton</t>
        </is>
      </c>
      <c r="N205" t="inlineStr">
        <is>
          <t>Men</t>
        </is>
      </c>
      <c r="O205" t="inlineStr">
        <is>
          <t>Doubles</t>
        </is>
      </c>
      <c r="P205" t="inlineStr"/>
      <c r="Q205" t="inlineStr">
        <is>
          <t>Jacob Huynh</t>
        </is>
      </c>
    </row>
    <row r="206">
      <c r="A206" t="inlineStr">
        <is>
          <t>SDC</t>
        </is>
      </c>
      <c r="B206" t="inlineStr">
        <is>
          <t>3636572</t>
        </is>
      </c>
      <c r="C206" t="inlineStr">
        <is>
          <t>82</t>
        </is>
      </c>
      <c r="D206" t="inlineStr">
        <is>
          <t>validated</t>
        </is>
      </c>
      <c r="E206" t="b">
        <v>1</v>
      </c>
      <c r="F206">
        <f>IMAGE("https://chmeetings.blob.core.windows.net/846969/attachments/Kfbvgrxge0GMOiKuoSztng/704fbe0f-6065-4a44-95c1-1f57f4eba03d.jpg")</f>
        <v/>
      </c>
      <c r="G206" t="inlineStr">
        <is>
          <t>Jacob</t>
        </is>
      </c>
      <c r="H206" t="inlineStr">
        <is>
          <t>Huynh</t>
        </is>
      </c>
      <c r="I206" t="inlineStr">
        <is>
          <t>Male</t>
        </is>
      </c>
      <c r="J206" t="n">
        <v>23</v>
      </c>
      <c r="K206" t="inlineStr">
        <is>
          <t>(858) 375-6646</t>
        </is>
      </c>
      <c r="L206" t="inlineStr">
        <is>
          <t>JACOBHUYNH09@GMAIL.COM</t>
        </is>
      </c>
      <c r="M206" t="inlineStr">
        <is>
          <t>Badminton</t>
        </is>
      </c>
      <c r="N206" t="inlineStr">
        <is>
          <t>Men</t>
        </is>
      </c>
      <c r="O206" t="inlineStr">
        <is>
          <t>Doubles</t>
        </is>
      </c>
      <c r="P206" t="inlineStr"/>
      <c r="Q206" t="inlineStr">
        <is>
          <t>Viet Duong</t>
        </is>
      </c>
    </row>
    <row r="207">
      <c r="A207" t="inlineStr">
        <is>
          <t>SDC</t>
        </is>
      </c>
      <c r="B207" t="inlineStr">
        <is>
          <t>3634932</t>
        </is>
      </c>
      <c r="C207" t="inlineStr">
        <is>
          <t>20</t>
        </is>
      </c>
      <c r="D207" t="inlineStr">
        <is>
          <t>validated</t>
        </is>
      </c>
      <c r="E207" t="b">
        <v>1</v>
      </c>
      <c r="F207">
        <f>IMAGE("https://chmeetings.blob.core.windows.net/846969/attachments/WqLDZlxmt0iD9mbVC64Uw/f643734c-922a-40e4-8cd8-24b44d5a9b84.jpg")</f>
        <v/>
      </c>
      <c r="G207" t="inlineStr">
        <is>
          <t>Esther</t>
        </is>
      </c>
      <c r="H207" t="inlineStr">
        <is>
          <t>Ngo</t>
        </is>
      </c>
      <c r="I207" t="inlineStr">
        <is>
          <t>Female</t>
        </is>
      </c>
      <c r="J207" t="n">
        <v>23</v>
      </c>
      <c r="K207" t="inlineStr">
        <is>
          <t>(619) 301-7384</t>
        </is>
      </c>
      <c r="L207" t="inlineStr">
        <is>
          <t>esther.ngo1222@gmail.com</t>
        </is>
      </c>
      <c r="M207" t="inlineStr">
        <is>
          <t>Badminton</t>
        </is>
      </c>
      <c r="N207" t="inlineStr">
        <is>
          <t>Mixed</t>
        </is>
      </c>
      <c r="O207" t="inlineStr">
        <is>
          <t>Doubles</t>
        </is>
      </c>
      <c r="P207" t="inlineStr"/>
      <c r="Q207" t="inlineStr">
        <is>
          <t>Joseph Ngo</t>
        </is>
      </c>
    </row>
    <row r="208">
      <c r="A208" t="inlineStr">
        <is>
          <t>SDC</t>
        </is>
      </c>
      <c r="B208" t="inlineStr">
        <is>
          <t>3631509</t>
        </is>
      </c>
      <c r="C208" t="inlineStr">
        <is>
          <t>81</t>
        </is>
      </c>
      <c r="D208" t="inlineStr">
        <is>
          <t>validated</t>
        </is>
      </c>
      <c r="E208" t="b">
        <v>1</v>
      </c>
      <c r="F208">
        <f>IMAGE("https://chmeetings.blob.core.windows.net/846969/attachments/qHFzw2su0EaXZVKX3nFTw/64676df0-467f-47ec-9834-a4285178e62b.jpg")</f>
        <v/>
      </c>
      <c r="G208" t="inlineStr">
        <is>
          <t>Christine</t>
        </is>
      </c>
      <c r="H208" t="inlineStr">
        <is>
          <t>Ngo</t>
        </is>
      </c>
      <c r="I208" t="inlineStr">
        <is>
          <t>Female</t>
        </is>
      </c>
      <c r="J208" t="n">
        <v>25</v>
      </c>
      <c r="K208" t="inlineStr">
        <is>
          <t>(858) 531-0418</t>
        </is>
      </c>
      <c r="L208" t="inlineStr">
        <is>
          <t>ctngo23@gmail.com</t>
        </is>
      </c>
      <c r="M208" t="inlineStr">
        <is>
          <t>Badminton</t>
        </is>
      </c>
      <c r="N208" t="inlineStr">
        <is>
          <t>Women</t>
        </is>
      </c>
      <c r="O208" t="inlineStr">
        <is>
          <t>Doubles</t>
        </is>
      </c>
      <c r="P208" t="inlineStr"/>
      <c r="Q208" t="inlineStr">
        <is>
          <t>Katie Tu</t>
        </is>
      </c>
    </row>
    <row r="209">
      <c r="A209" t="inlineStr">
        <is>
          <t>SDC</t>
        </is>
      </c>
      <c r="B209" t="inlineStr">
        <is>
          <t>3554516</t>
        </is>
      </c>
      <c r="C209" t="inlineStr">
        <is>
          <t>83</t>
        </is>
      </c>
      <c r="D209" t="inlineStr">
        <is>
          <t>validated</t>
        </is>
      </c>
      <c r="E209" t="b">
        <v>1</v>
      </c>
      <c r="F209">
        <f>IMAGE("https://chmeetings.blob.core.windows.net/846969/attachments/bqJr0cNbxkGuCD7FEwTwSg/5d344889-f820-4fd5-b45c-f7d157a0386e.jpg")</f>
        <v/>
      </c>
      <c r="G209" t="inlineStr">
        <is>
          <t>Katie</t>
        </is>
      </c>
      <c r="H209" t="inlineStr">
        <is>
          <t>Tu</t>
        </is>
      </c>
      <c r="I209" t="inlineStr">
        <is>
          <t>Female</t>
        </is>
      </c>
      <c r="J209" t="n">
        <v>23</v>
      </c>
      <c r="K209" t="inlineStr">
        <is>
          <t>(619) 514-9303</t>
        </is>
      </c>
      <c r="L209" t="inlineStr">
        <is>
          <t>katietuu@gmail.com</t>
        </is>
      </c>
      <c r="M209" t="inlineStr">
        <is>
          <t>Badminton</t>
        </is>
      </c>
      <c r="N209" t="inlineStr">
        <is>
          <t>Women</t>
        </is>
      </c>
      <c r="O209" t="inlineStr">
        <is>
          <t>Doubles</t>
        </is>
      </c>
      <c r="P209" t="inlineStr"/>
      <c r="Q209" t="inlineStr">
        <is>
          <t>Christine Ngo</t>
        </is>
      </c>
    </row>
    <row r="210">
      <c r="A210" t="inlineStr">
        <is>
          <t>SDC</t>
        </is>
      </c>
      <c r="B210" t="inlineStr">
        <is>
          <t>4361942</t>
        </is>
      </c>
      <c r="C210" t="inlineStr">
        <is>
          <t>22</t>
        </is>
      </c>
      <c r="D210" t="inlineStr">
        <is>
          <t>validated</t>
        </is>
      </c>
      <c r="E210" t="b">
        <v>1</v>
      </c>
      <c r="F210">
        <f>IMAGE("https://chmeetings.blob.core.windows.net/846969/attachments/oBxVmMKo9U2QdhPSUPgpfg/1595e1f5-6f42-49d1-a76e-b49ba082ce9e.jpg")</f>
        <v/>
      </c>
      <c r="G210" t="inlineStr">
        <is>
          <t>Ly</t>
        </is>
      </c>
      <c r="H210" t="inlineStr">
        <is>
          <t>Nguyen</t>
        </is>
      </c>
      <c r="I210" t="inlineStr">
        <is>
          <t>Female</t>
        </is>
      </c>
      <c r="J210" t="n">
        <v>22</v>
      </c>
      <c r="K210" t="inlineStr">
        <is>
          <t>(619) 724-8444</t>
        </is>
      </c>
      <c r="L210" t="inlineStr">
        <is>
          <t>Nguyenly0818@yahoo.com</t>
        </is>
      </c>
      <c r="M210" t="inlineStr">
        <is>
          <t>Pickleball</t>
        </is>
      </c>
      <c r="N210" t="inlineStr">
        <is>
          <t>Women</t>
        </is>
      </c>
      <c r="O210" t="inlineStr">
        <is>
          <t>Doubles</t>
        </is>
      </c>
      <c r="P210" t="inlineStr"/>
      <c r="Q210" t="inlineStr">
        <is>
          <t>Katie Tu</t>
        </is>
      </c>
    </row>
    <row r="211">
      <c r="A211" t="inlineStr">
        <is>
          <t>SDC</t>
        </is>
      </c>
      <c r="B211" t="inlineStr">
        <is>
          <t>3554516</t>
        </is>
      </c>
      <c r="C211" t="inlineStr">
        <is>
          <t>83</t>
        </is>
      </c>
      <c r="D211" t="inlineStr">
        <is>
          <t>validated</t>
        </is>
      </c>
      <c r="E211" t="b">
        <v>1</v>
      </c>
      <c r="F211">
        <f>IMAGE("https://chmeetings.blob.core.windows.net/846969/attachments/bqJr0cNbxkGuCD7FEwTwSg/5d344889-f820-4fd5-b45c-f7d157a0386e.jpg")</f>
        <v/>
      </c>
      <c r="G211" t="inlineStr">
        <is>
          <t>Katie</t>
        </is>
      </c>
      <c r="H211" t="inlineStr">
        <is>
          <t>Tu</t>
        </is>
      </c>
      <c r="I211" t="inlineStr">
        <is>
          <t>Female</t>
        </is>
      </c>
      <c r="J211" t="n">
        <v>23</v>
      </c>
      <c r="K211" t="inlineStr">
        <is>
          <t>(619) 514-9303</t>
        </is>
      </c>
      <c r="L211" t="inlineStr">
        <is>
          <t>katietuu@gmail.com</t>
        </is>
      </c>
      <c r="M211" t="inlineStr">
        <is>
          <t>Pickleball</t>
        </is>
      </c>
      <c r="N211" t="inlineStr">
        <is>
          <t>Women</t>
        </is>
      </c>
      <c r="O211" t="inlineStr">
        <is>
          <t>Doubles</t>
        </is>
      </c>
      <c r="P211" t="inlineStr"/>
      <c r="Q211" t="inlineStr">
        <is>
          <t>Ly Nguyen</t>
        </is>
      </c>
    </row>
    <row r="212">
      <c r="A212" t="inlineStr">
        <is>
          <t>SDC</t>
        </is>
      </c>
      <c r="B212" t="inlineStr">
        <is>
          <t>3634404</t>
        </is>
      </c>
      <c r="C212" t="inlineStr">
        <is>
          <t>21</t>
        </is>
      </c>
      <c r="D212" t="inlineStr">
        <is>
          <t>validated</t>
        </is>
      </c>
      <c r="E212" t="b">
        <v>1</v>
      </c>
      <c r="F212">
        <f>IMAGE("https://chmeetings.blob.core.windows.net/846969/attachments/Ws07x9gR0wAZUSi1q5NQ/dfab0bcf-a4de-43d1-9a71-2a3478c9db6c.jpg")</f>
        <v/>
      </c>
      <c r="G212" t="inlineStr">
        <is>
          <t>Kenneth</t>
        </is>
      </c>
      <c r="H212" t="inlineStr">
        <is>
          <t>Cruz Matias</t>
        </is>
      </c>
      <c r="I212" t="inlineStr">
        <is>
          <t>Male</t>
        </is>
      </c>
      <c r="J212" t="n">
        <v>23</v>
      </c>
      <c r="K212" t="inlineStr">
        <is>
          <t>(442) 237-8092</t>
        </is>
      </c>
      <c r="L212" t="inlineStr">
        <is>
          <t>cruzmatiaskenny8@gmail.com</t>
        </is>
      </c>
      <c r="M212" t="inlineStr">
        <is>
          <t>Table Tennis</t>
        </is>
      </c>
      <c r="N212" t="inlineStr">
        <is>
          <t>Men</t>
        </is>
      </c>
      <c r="O212" t="inlineStr">
        <is>
          <t>Doubles</t>
        </is>
      </c>
      <c r="P212" t="inlineStr"/>
      <c r="Q212" t="inlineStr">
        <is>
          <t>John Huang Le</t>
        </is>
      </c>
    </row>
    <row r="213">
      <c r="A213" t="inlineStr">
        <is>
          <t>SDC</t>
        </is>
      </c>
      <c r="B213" t="inlineStr">
        <is>
          <t>3634404</t>
        </is>
      </c>
      <c r="C213" t="inlineStr">
        <is>
          <t>21</t>
        </is>
      </c>
      <c r="D213" t="inlineStr">
        <is>
          <t>validated</t>
        </is>
      </c>
      <c r="E213" t="b">
        <v>1</v>
      </c>
      <c r="F213">
        <f>IMAGE("https://chmeetings.blob.core.windows.net/846969/attachments/Ws07x9gR0wAZUSi1q5NQ/dfab0bcf-a4de-43d1-9a71-2a3478c9db6c.jpg")</f>
        <v/>
      </c>
      <c r="G213" t="inlineStr">
        <is>
          <t>Kenneth</t>
        </is>
      </c>
      <c r="H213" t="inlineStr">
        <is>
          <t>Cruz Matias</t>
        </is>
      </c>
      <c r="I213" t="inlineStr">
        <is>
          <t>Male</t>
        </is>
      </c>
      <c r="J213" t="n">
        <v>23</v>
      </c>
      <c r="K213" t="inlineStr">
        <is>
          <t>(442) 237-8092</t>
        </is>
      </c>
      <c r="L213" t="inlineStr">
        <is>
          <t>cruzmatiaskenny8@gmail.com</t>
        </is>
      </c>
      <c r="M213" t="inlineStr">
        <is>
          <t>Table Tennis</t>
        </is>
      </c>
      <c r="N213" t="inlineStr">
        <is>
          <t>Men</t>
        </is>
      </c>
      <c r="O213" t="inlineStr">
        <is>
          <t>Singles</t>
        </is>
      </c>
      <c r="P213" t="inlineStr"/>
      <c r="Q213" t="inlineStr"/>
    </row>
    <row r="214">
      <c r="A214" t="inlineStr">
        <is>
          <t>SDC</t>
        </is>
      </c>
      <c r="B214" t="inlineStr">
        <is>
          <t>3476582</t>
        </is>
      </c>
      <c r="C214" t="inlineStr">
        <is>
          <t>25</t>
        </is>
      </c>
      <c r="D214" t="inlineStr">
        <is>
          <t>validated</t>
        </is>
      </c>
      <c r="E214" t="b">
        <v>1</v>
      </c>
      <c r="F214">
        <f>IMAGE("https://chmeetings.blob.core.windows.net/846969/attachments/Pnw3aHD5hEqlDsZTqeNkA/461b41a2-6769-490c-a301-c265e90ad64e.jpg")</f>
        <v/>
      </c>
      <c r="G214" t="inlineStr">
        <is>
          <t>Viet</t>
        </is>
      </c>
      <c r="H214" t="inlineStr">
        <is>
          <t>Duong</t>
        </is>
      </c>
      <c r="I214" t="inlineStr">
        <is>
          <t>Male</t>
        </is>
      </c>
      <c r="J214" t="n">
        <v>25</v>
      </c>
      <c r="K214" t="inlineStr">
        <is>
          <t>(619) 227-8495</t>
        </is>
      </c>
      <c r="L214" t="inlineStr">
        <is>
          <t>vietduong152205@gmail.com</t>
        </is>
      </c>
      <c r="M214" t="inlineStr">
        <is>
          <t>Tennis</t>
        </is>
      </c>
      <c r="N214" t="inlineStr">
        <is>
          <t>Mixed</t>
        </is>
      </c>
      <c r="O214" t="inlineStr">
        <is>
          <t>Doubles</t>
        </is>
      </c>
      <c r="P214" t="inlineStr"/>
      <c r="Q214" t="inlineStr">
        <is>
          <t>Ly Nguyen</t>
        </is>
      </c>
    </row>
    <row r="215">
      <c r="A215" t="inlineStr">
        <is>
          <t>SDC</t>
        </is>
      </c>
      <c r="B215" t="inlineStr">
        <is>
          <t>4361942</t>
        </is>
      </c>
      <c r="C215" t="inlineStr">
        <is>
          <t>22</t>
        </is>
      </c>
      <c r="D215" t="inlineStr">
        <is>
          <t>validated</t>
        </is>
      </c>
      <c r="E215" t="b">
        <v>1</v>
      </c>
      <c r="F215">
        <f>IMAGE("https://chmeetings.blob.core.windows.net/846969/attachments/oBxVmMKo9U2QdhPSUPgpfg/1595e1f5-6f42-49d1-a76e-b49ba082ce9e.jpg")</f>
        <v/>
      </c>
      <c r="G215" t="inlineStr">
        <is>
          <t>Ly</t>
        </is>
      </c>
      <c r="H215" t="inlineStr">
        <is>
          <t>Nguyen</t>
        </is>
      </c>
      <c r="I215" t="inlineStr">
        <is>
          <t>Female</t>
        </is>
      </c>
      <c r="J215" t="n">
        <v>22</v>
      </c>
      <c r="K215" t="inlineStr">
        <is>
          <t>(619) 724-8444</t>
        </is>
      </c>
      <c r="L215" t="inlineStr">
        <is>
          <t>Nguyenly0818@yahoo.com</t>
        </is>
      </c>
      <c r="M215" t="inlineStr">
        <is>
          <t>Tennis</t>
        </is>
      </c>
      <c r="N215" t="inlineStr">
        <is>
          <t>Mixed</t>
        </is>
      </c>
      <c r="O215" t="inlineStr">
        <is>
          <t>Doubles</t>
        </is>
      </c>
      <c r="P215" t="inlineStr"/>
      <c r="Q215" t="inlineStr">
        <is>
          <t>Viet Duong</t>
        </is>
      </c>
    </row>
    <row r="216">
      <c r="A216" t="inlineStr">
        <is>
          <t>SDC</t>
        </is>
      </c>
      <c r="B216" t="inlineStr">
        <is>
          <t>3635885</t>
        </is>
      </c>
      <c r="C216" t="inlineStr">
        <is>
          <t>84</t>
        </is>
      </c>
      <c r="D216" t="inlineStr">
        <is>
          <t>validated</t>
        </is>
      </c>
      <c r="E216" t="b">
        <v>1</v>
      </c>
      <c r="F216">
        <f>IMAGE("https://chmeetings.blob.core.windows.net/846969/attachments/r1jarmgNdU2vRI9LrvQIug/afb53597-c751-4247-a104-a4129b1f39e6.jpg")</f>
        <v/>
      </c>
      <c r="G216" t="inlineStr">
        <is>
          <t>Nathan</t>
        </is>
      </c>
      <c r="H216" t="inlineStr">
        <is>
          <t>Nguyen</t>
        </is>
      </c>
      <c r="I216" t="inlineStr">
        <is>
          <t>Male</t>
        </is>
      </c>
      <c r="J216" t="n">
        <v>18</v>
      </c>
      <c r="K216" t="inlineStr">
        <is>
          <t>(619) 218-6042</t>
        </is>
      </c>
      <c r="L216" t="inlineStr">
        <is>
          <t>nathan.cv.nguyen@gmail.com</t>
        </is>
      </c>
      <c r="M216" t="inlineStr">
        <is>
          <t>Track &amp; Field</t>
        </is>
      </c>
      <c r="N216" t="inlineStr">
        <is>
          <t>Mixed</t>
        </is>
      </c>
      <c r="O216" t="inlineStr">
        <is>
          <t>Team</t>
        </is>
      </c>
      <c r="P216" t="inlineStr"/>
      <c r="Q216" t="inlineStr"/>
    </row>
    <row r="217">
      <c r="A217" t="inlineStr">
        <is>
          <t>SDC</t>
        </is>
      </c>
      <c r="B217" t="inlineStr">
        <is>
          <t>4361930</t>
        </is>
      </c>
      <c r="C217" t="inlineStr">
        <is>
          <t>24</t>
        </is>
      </c>
      <c r="D217" t="inlineStr">
        <is>
          <t>validated</t>
        </is>
      </c>
      <c r="E217" t="b">
        <v>1</v>
      </c>
      <c r="F217">
        <f>IMAGE("https://chmeetings.blob.core.windows.net/846969/attachments/TkKY4kXMsECC0RXzudZ5tA/b84f2b40-fd84-416f-b1fe-87a8d863a84b.jpg")</f>
        <v/>
      </c>
      <c r="G217" t="inlineStr">
        <is>
          <t>Quang</t>
        </is>
      </c>
      <c r="H217" t="inlineStr">
        <is>
          <t>Duong</t>
        </is>
      </c>
      <c r="I217" t="inlineStr">
        <is>
          <t>Male</t>
        </is>
      </c>
      <c r="J217" t="n">
        <v>24</v>
      </c>
      <c r="K217" t="inlineStr">
        <is>
          <t>(619) 638-9596</t>
        </is>
      </c>
      <c r="L217" t="inlineStr">
        <is>
          <t>Qduong2605@gmail.com</t>
        </is>
      </c>
      <c r="M217" t="inlineStr">
        <is>
          <t>Volleyball</t>
        </is>
      </c>
      <c r="N217" t="inlineStr">
        <is>
          <t>Men</t>
        </is>
      </c>
      <c r="O217" t="inlineStr">
        <is>
          <t>Team</t>
        </is>
      </c>
      <c r="P217" t="inlineStr"/>
      <c r="Q217" t="inlineStr"/>
    </row>
    <row r="218">
      <c r="A218" t="inlineStr">
        <is>
          <t>SDC</t>
        </is>
      </c>
      <c r="B218" t="inlineStr">
        <is>
          <t>3635297</t>
        </is>
      </c>
      <c r="C218" t="inlineStr">
        <is>
          <t>80</t>
        </is>
      </c>
      <c r="D218" t="inlineStr">
        <is>
          <t>validated</t>
        </is>
      </c>
      <c r="E218" t="b">
        <v>1</v>
      </c>
      <c r="F218">
        <f>IMAGE("https://chmeetings.blob.core.windows.net/846969/attachments/1JIaBiZw5UyOOxG8LNs6jw/c5690af5-0305-4818-b5f0-4e91868e4dd4.jpg")</f>
        <v/>
      </c>
      <c r="G218" t="inlineStr">
        <is>
          <t>Austin</t>
        </is>
      </c>
      <c r="H218" t="inlineStr">
        <is>
          <t>Huynh</t>
        </is>
      </c>
      <c r="I218" t="inlineStr">
        <is>
          <t>Male</t>
        </is>
      </c>
      <c r="J218" t="n">
        <v>20</v>
      </c>
      <c r="K218" t="inlineStr">
        <is>
          <t>(858) 880-6520</t>
        </is>
      </c>
      <c r="L218" t="inlineStr">
        <is>
          <t>aahuynh2006@gmail.com</t>
        </is>
      </c>
      <c r="M218" t="inlineStr">
        <is>
          <t>Volleyball</t>
        </is>
      </c>
      <c r="N218" t="inlineStr">
        <is>
          <t>Men</t>
        </is>
      </c>
      <c r="O218" t="inlineStr">
        <is>
          <t>Team</t>
        </is>
      </c>
      <c r="P218" t="inlineStr"/>
      <c r="Q218" t="inlineStr"/>
    </row>
    <row r="219">
      <c r="A219" t="inlineStr">
        <is>
          <t>SDC</t>
        </is>
      </c>
      <c r="B219" t="inlineStr">
        <is>
          <t>4363696</t>
        </is>
      </c>
      <c r="C219" t="inlineStr">
        <is>
          <t>85</t>
        </is>
      </c>
      <c r="D219" t="inlineStr">
        <is>
          <t>pending</t>
        </is>
      </c>
      <c r="E219" t="b">
        <v>0</v>
      </c>
      <c r="F219">
        <f>IMAGE("https://chmeetings.blob.core.windows.net/846969/attachments/WkUK8P2AT02DuSP93vzyQ/de3c4b81-ac76-4773-9f41-3dbbfdb4c639.jpg")</f>
        <v/>
      </c>
      <c r="G219" t="inlineStr">
        <is>
          <t>Orion</t>
        </is>
      </c>
      <c r="H219" t="inlineStr">
        <is>
          <t>Le</t>
        </is>
      </c>
      <c r="I219" t="inlineStr">
        <is>
          <t>Male</t>
        </is>
      </c>
      <c r="J219" t="n">
        <v>15</v>
      </c>
      <c r="K219" t="inlineStr">
        <is>
          <t>(619) 636-9029</t>
        </is>
      </c>
      <c r="L219" t="inlineStr">
        <is>
          <t>orionkle@gmail.com</t>
        </is>
      </c>
      <c r="M219" t="inlineStr">
        <is>
          <t>Volleyball</t>
        </is>
      </c>
      <c r="N219" t="inlineStr">
        <is>
          <t>Men</t>
        </is>
      </c>
      <c r="O219" t="inlineStr">
        <is>
          <t>Team</t>
        </is>
      </c>
      <c r="P219" t="inlineStr"/>
      <c r="Q219" t="inlineStr"/>
    </row>
    <row r="220">
      <c r="A220" t="inlineStr">
        <is>
          <t>SDC</t>
        </is>
      </c>
      <c r="B220" t="inlineStr">
        <is>
          <t>3632190</t>
        </is>
      </c>
      <c r="C220" t="inlineStr">
        <is>
          <t>19</t>
        </is>
      </c>
      <c r="D220" t="inlineStr">
        <is>
          <t>validated</t>
        </is>
      </c>
      <c r="E220" t="b">
        <v>1</v>
      </c>
      <c r="F220">
        <f>IMAGE("https://chmeetings.blob.core.windows.net/846969/attachments/v0KbVU03nUuXUrWpKoeQBA/635703c8-a438-4dc9-8ba8-8dc18fd00312.jpg")</f>
        <v/>
      </c>
      <c r="G220" t="inlineStr">
        <is>
          <t>Andrew</t>
        </is>
      </c>
      <c r="H220" t="inlineStr">
        <is>
          <t>Mai</t>
        </is>
      </c>
      <c r="I220" t="inlineStr">
        <is>
          <t>Male</t>
        </is>
      </c>
      <c r="J220" t="n">
        <v>24</v>
      </c>
      <c r="K220" t="inlineStr">
        <is>
          <t>(858) 610-3688</t>
        </is>
      </c>
      <c r="L220" t="inlineStr">
        <is>
          <t>andrewmai78@gmail.com</t>
        </is>
      </c>
      <c r="M220" t="inlineStr">
        <is>
          <t>Volleyball</t>
        </is>
      </c>
      <c r="N220" t="inlineStr">
        <is>
          <t>Men</t>
        </is>
      </c>
      <c r="O220" t="inlineStr">
        <is>
          <t>Team</t>
        </is>
      </c>
      <c r="P220" t="inlineStr"/>
      <c r="Q220" t="inlineStr"/>
    </row>
    <row r="221">
      <c r="A221" t="inlineStr">
        <is>
          <t>SDC</t>
        </is>
      </c>
      <c r="B221" t="inlineStr">
        <is>
          <t>3631498</t>
        </is>
      </c>
      <c r="C221" t="inlineStr">
        <is>
          <t>23</t>
        </is>
      </c>
      <c r="D221" t="inlineStr">
        <is>
          <t>pending</t>
        </is>
      </c>
      <c r="E221" t="b">
        <v>1</v>
      </c>
      <c r="F221">
        <f>IMAGE("https://chmeetings.blob.core.windows.net/846969/attachments/JaOKRnWgzU2Ets1hKETkyg/1245d6dc-fe84-45e5-a936-90755a825089.jpg")</f>
        <v/>
      </c>
      <c r="G221" t="inlineStr">
        <is>
          <t>Peter</t>
        </is>
      </c>
      <c r="H221" t="inlineStr">
        <is>
          <t>Tu</t>
        </is>
      </c>
      <c r="I221" t="inlineStr">
        <is>
          <t>Male</t>
        </is>
      </c>
      <c r="J221" t="n">
        <v>16</v>
      </c>
      <c r="K221" t="inlineStr">
        <is>
          <t>(619) 850-3146</t>
        </is>
      </c>
      <c r="L221" t="inlineStr">
        <is>
          <t>22petertu@gmail.com</t>
        </is>
      </c>
      <c r="M221" t="inlineStr">
        <is>
          <t>Volleyball</t>
        </is>
      </c>
      <c r="N221" t="inlineStr">
        <is>
          <t>Men</t>
        </is>
      </c>
      <c r="O221" t="inlineStr">
        <is>
          <t>Team</t>
        </is>
      </c>
      <c r="P221" t="inlineStr"/>
      <c r="Q221" t="inlineStr"/>
    </row>
    <row r="222">
      <c r="A222" t="inlineStr">
        <is>
          <t>SDC</t>
        </is>
      </c>
      <c r="B222" t="inlineStr">
        <is>
          <t>3631509</t>
        </is>
      </c>
      <c r="C222" t="inlineStr">
        <is>
          <t>81</t>
        </is>
      </c>
      <c r="D222" t="inlineStr">
        <is>
          <t>validated</t>
        </is>
      </c>
      <c r="E222" t="b">
        <v>1</v>
      </c>
      <c r="F222">
        <f>IMAGE("https://chmeetings.blob.core.windows.net/846969/attachments/qHFzw2su0EaXZVKX3nFTw/64676df0-467f-47ec-9834-a4285178e62b.jpg")</f>
        <v/>
      </c>
      <c r="G222" t="inlineStr">
        <is>
          <t>Christine</t>
        </is>
      </c>
      <c r="H222" t="inlineStr">
        <is>
          <t>Ngo</t>
        </is>
      </c>
      <c r="I222" t="inlineStr">
        <is>
          <t>Female</t>
        </is>
      </c>
      <c r="J222" t="n">
        <v>25</v>
      </c>
      <c r="K222" t="inlineStr">
        <is>
          <t>(858) 531-0418</t>
        </is>
      </c>
      <c r="L222" t="inlineStr">
        <is>
          <t>ctngo23@gmail.com</t>
        </is>
      </c>
      <c r="M222" t="inlineStr">
        <is>
          <t>Volleyball</t>
        </is>
      </c>
      <c r="N222" t="inlineStr">
        <is>
          <t>Women</t>
        </is>
      </c>
      <c r="O222" t="inlineStr">
        <is>
          <t>Team</t>
        </is>
      </c>
      <c r="P222" t="inlineStr"/>
      <c r="Q222" t="inlineStr"/>
    </row>
    <row r="223">
      <c r="A223" t="inlineStr">
        <is>
          <t>SDC</t>
        </is>
      </c>
      <c r="B223" t="inlineStr">
        <is>
          <t>3634932</t>
        </is>
      </c>
      <c r="C223" t="inlineStr">
        <is>
          <t>20</t>
        </is>
      </c>
      <c r="D223" t="inlineStr">
        <is>
          <t>validated</t>
        </is>
      </c>
      <c r="E223" t="b">
        <v>1</v>
      </c>
      <c r="F223">
        <f>IMAGE("https://chmeetings.blob.core.windows.net/846969/attachments/WqLDZlxmt0iD9mbVC64Uw/f643734c-922a-40e4-8cd8-24b44d5a9b84.jpg")</f>
        <v/>
      </c>
      <c r="G223" t="inlineStr">
        <is>
          <t>Esther</t>
        </is>
      </c>
      <c r="H223" t="inlineStr">
        <is>
          <t>Ngo</t>
        </is>
      </c>
      <c r="I223" t="inlineStr">
        <is>
          <t>Female</t>
        </is>
      </c>
      <c r="J223" t="n">
        <v>23</v>
      </c>
      <c r="K223" t="inlineStr">
        <is>
          <t>(619) 301-7384</t>
        </is>
      </c>
      <c r="L223" t="inlineStr">
        <is>
          <t>esther.ngo1222@gmail.com</t>
        </is>
      </c>
      <c r="M223" t="inlineStr">
        <is>
          <t>Volleyball</t>
        </is>
      </c>
      <c r="N223" t="inlineStr">
        <is>
          <t>Women</t>
        </is>
      </c>
      <c r="O223" t="inlineStr">
        <is>
          <t>Team</t>
        </is>
      </c>
      <c r="P223" t="inlineStr"/>
      <c r="Q223" t="inlineStr"/>
    </row>
    <row r="224">
      <c r="A224" t="inlineStr">
        <is>
          <t>TLC</t>
        </is>
      </c>
      <c r="B224" t="inlineStr">
        <is>
          <t>4361949</t>
        </is>
      </c>
      <c r="C224" t="inlineStr">
        <is>
          <t>30</t>
        </is>
      </c>
      <c r="D224" t="inlineStr">
        <is>
          <t>validated</t>
        </is>
      </c>
      <c r="E224" t="b">
        <v>1</v>
      </c>
      <c r="F224">
        <f>IMAGE("https://chmeetings.blob.core.windows.net/846969/attachments/Z3yem4f1HkKx9fc551NLNw/7bc871da-1eeb-4b72-9047-060bf53c9b05.jpg")</f>
        <v/>
      </c>
      <c r="G224" t="inlineStr">
        <is>
          <t>Shan</t>
        </is>
      </c>
      <c r="H224" t="inlineStr">
        <is>
          <t>Gao</t>
        </is>
      </c>
      <c r="I224" t="inlineStr">
        <is>
          <t>Male</t>
        </is>
      </c>
      <c r="J224" t="n">
        <v>23</v>
      </c>
      <c r="K224" t="inlineStr">
        <is>
          <t>(626) 861-8687</t>
        </is>
      </c>
      <c r="L224" t="inlineStr">
        <is>
          <t>w2801046931@gmail.com</t>
        </is>
      </c>
      <c r="M224" t="inlineStr">
        <is>
          <t>Badminton</t>
        </is>
      </c>
      <c r="N224" t="inlineStr">
        <is>
          <t>Men</t>
        </is>
      </c>
      <c r="O224" t="inlineStr">
        <is>
          <t>Doubles</t>
        </is>
      </c>
      <c r="P224" t="inlineStr"/>
      <c r="Q224" t="inlineStr">
        <is>
          <t>James Nguyen</t>
        </is>
      </c>
    </row>
    <row r="225">
      <c r="A225" t="inlineStr">
        <is>
          <t>TLC</t>
        </is>
      </c>
      <c r="B225" t="inlineStr">
        <is>
          <t>3562839</t>
        </is>
      </c>
      <c r="C225" t="inlineStr">
        <is>
          <t>31</t>
        </is>
      </c>
      <c r="D225" t="inlineStr">
        <is>
          <t>pending_approval</t>
        </is>
      </c>
      <c r="E225" t="b">
        <v>1</v>
      </c>
      <c r="F225">
        <f>IMAGE("https://chmeetings.blob.core.windows.net/846969/attachments/YGg8n4kfIE6Jo6c8Uj0LMQ/267c68c0-1843-43e2-93a4-f5c795fb5c3f.jpg")</f>
        <v/>
      </c>
      <c r="G225" t="inlineStr">
        <is>
          <t>Shawn</t>
        </is>
      </c>
      <c r="H225" t="inlineStr">
        <is>
          <t>Le</t>
        </is>
      </c>
      <c r="I225" t="inlineStr">
        <is>
          <t>Male</t>
        </is>
      </c>
      <c r="J225" t="n">
        <v>28</v>
      </c>
      <c r="K225" t="inlineStr">
        <is>
          <t>(949) 416-8033</t>
        </is>
      </c>
      <c r="L225" t="inlineStr">
        <is>
          <t>shawn.le@thanhlechurch.com</t>
        </is>
      </c>
      <c r="M225" t="inlineStr">
        <is>
          <t>Badminton</t>
        </is>
      </c>
      <c r="N225" t="inlineStr">
        <is>
          <t>Men</t>
        </is>
      </c>
      <c r="O225" t="inlineStr">
        <is>
          <t>Doubles</t>
        </is>
      </c>
      <c r="P225" t="inlineStr"/>
      <c r="Q225" t="inlineStr"/>
    </row>
    <row r="226">
      <c r="A226" t="inlineStr">
        <is>
          <t>TLC</t>
        </is>
      </c>
      <c r="B226" t="inlineStr">
        <is>
          <t>4361934</t>
        </is>
      </c>
      <c r="C226" t="inlineStr">
        <is>
          <t>28</t>
        </is>
      </c>
      <c r="D226" t="inlineStr">
        <is>
          <t>validated</t>
        </is>
      </c>
      <c r="E226" t="b">
        <v>1</v>
      </c>
      <c r="F226">
        <f>IMAGE("https://chmeetings.blob.core.windows.net/846969/attachments/1N8zi6qzvEuqeQtuOAnIA/db69b783-cf12-4974-9080-8a1301fb5ca9.jpg")</f>
        <v/>
      </c>
      <c r="G226" t="inlineStr">
        <is>
          <t>James</t>
        </is>
      </c>
      <c r="H226" t="inlineStr">
        <is>
          <t>Nguyen</t>
        </is>
      </c>
      <c r="I226" t="inlineStr">
        <is>
          <t>Male</t>
        </is>
      </c>
      <c r="J226" t="n">
        <v>22</v>
      </c>
      <c r="K226" t="inlineStr">
        <is>
          <t>(626) 227-4099</t>
        </is>
      </c>
      <c r="L226" t="inlineStr">
        <is>
          <t>nguyejames03@gmail.com</t>
        </is>
      </c>
      <c r="M226" t="inlineStr">
        <is>
          <t>Badminton</t>
        </is>
      </c>
      <c r="N226" t="inlineStr">
        <is>
          <t>Men</t>
        </is>
      </c>
      <c r="O226" t="inlineStr">
        <is>
          <t>Doubles</t>
        </is>
      </c>
      <c r="P226" t="inlineStr"/>
      <c r="Q226" t="inlineStr">
        <is>
          <t>Shan Gao (Gary)</t>
        </is>
      </c>
    </row>
    <row r="227">
      <c r="A227" t="inlineStr">
        <is>
          <t>TLC</t>
        </is>
      </c>
      <c r="B227" t="inlineStr">
        <is>
          <t>4361933</t>
        </is>
      </c>
      <c r="C227" t="inlineStr">
        <is>
          <t>26</t>
        </is>
      </c>
      <c r="D227" t="inlineStr">
        <is>
          <t>validated</t>
        </is>
      </c>
      <c r="E227" t="b">
        <v>0</v>
      </c>
      <c r="F227">
        <f>IMAGE("https://chmeetings.blob.core.windows.net/846969/attachments/iz7lVTuVok6vCCLaDh89w/5c294fc1-1dd8-4abe-8c6d-053ac638f408.jpg")</f>
        <v/>
      </c>
      <c r="G227" t="inlineStr">
        <is>
          <t>Hyewon</t>
        </is>
      </c>
      <c r="H227" t="inlineStr">
        <is>
          <t>Yun</t>
        </is>
      </c>
      <c r="I227" t="inlineStr">
        <is>
          <t>Male</t>
        </is>
      </c>
      <c r="J227" t="n">
        <v>30</v>
      </c>
      <c r="K227" t="inlineStr">
        <is>
          <t>(714) 501-3313</t>
        </is>
      </c>
      <c r="L227" t="inlineStr">
        <is>
          <t>hyewonyun1996@gmail.com</t>
        </is>
      </c>
      <c r="M227" t="inlineStr">
        <is>
          <t>Badminton</t>
        </is>
      </c>
      <c r="N227" t="inlineStr">
        <is>
          <t>Men</t>
        </is>
      </c>
      <c r="O227" t="inlineStr">
        <is>
          <t>Doubles</t>
        </is>
      </c>
      <c r="P227" t="inlineStr"/>
      <c r="Q227" t="inlineStr">
        <is>
          <t>Shawn Le</t>
        </is>
      </c>
    </row>
    <row r="228">
      <c r="A228" t="inlineStr">
        <is>
          <t>TLC</t>
        </is>
      </c>
      <c r="B228" t="inlineStr">
        <is>
          <t>3562839</t>
        </is>
      </c>
      <c r="C228" t="inlineStr">
        <is>
          <t>31</t>
        </is>
      </c>
      <c r="D228" t="inlineStr">
        <is>
          <t>pending_approval</t>
        </is>
      </c>
      <c r="E228" t="b">
        <v>1</v>
      </c>
      <c r="F228">
        <f>IMAGE("https://chmeetings.blob.core.windows.net/846969/attachments/YGg8n4kfIE6Jo6c8Uj0LMQ/267c68c0-1843-43e2-93a4-f5c795fb5c3f.jpg")</f>
        <v/>
      </c>
      <c r="G228" t="inlineStr">
        <is>
          <t>Shawn</t>
        </is>
      </c>
      <c r="H228" t="inlineStr">
        <is>
          <t>Le</t>
        </is>
      </c>
      <c r="I228" t="inlineStr">
        <is>
          <t>Male</t>
        </is>
      </c>
      <c r="J228" t="n">
        <v>28</v>
      </c>
      <c r="K228" t="inlineStr">
        <is>
          <t>(949) 416-8033</t>
        </is>
      </c>
      <c r="L228" t="inlineStr">
        <is>
          <t>shawn.le@thanhlechurch.com</t>
        </is>
      </c>
      <c r="M228" t="inlineStr">
        <is>
          <t>Badminton</t>
        </is>
      </c>
      <c r="N228" t="inlineStr">
        <is>
          <t>Mixed</t>
        </is>
      </c>
      <c r="O228" t="inlineStr">
        <is>
          <t>Doubles</t>
        </is>
      </c>
      <c r="P228" t="inlineStr"/>
      <c r="Q228" t="inlineStr"/>
    </row>
    <row r="229">
      <c r="A229" t="inlineStr">
        <is>
          <t>TLC</t>
        </is>
      </c>
      <c r="B229" t="inlineStr">
        <is>
          <t>3618802</t>
        </is>
      </c>
      <c r="C229" t="inlineStr">
        <is>
          <t>86</t>
        </is>
      </c>
      <c r="D229" t="inlineStr">
        <is>
          <t>validated</t>
        </is>
      </c>
      <c r="E229" t="b">
        <v>1</v>
      </c>
      <c r="F229">
        <f>IMAGE("https://chmeetings.blob.core.windows.net/846969/attachments/Nxtp9U9gCEiPsYqocAkaFg/2d0fe47c-8ab7-4c18-960f-181f8bdfeb61.jpg")</f>
        <v/>
      </c>
      <c r="G229" t="inlineStr">
        <is>
          <t>Peter</t>
        </is>
      </c>
      <c r="H229" t="inlineStr">
        <is>
          <t>Dang</t>
        </is>
      </c>
      <c r="I229" t="inlineStr">
        <is>
          <t>Male</t>
        </is>
      </c>
      <c r="J229" t="n">
        <v>26</v>
      </c>
      <c r="K229" t="inlineStr">
        <is>
          <t>(714) 589-7371</t>
        </is>
      </c>
      <c r="L229" t="inlineStr">
        <is>
          <t>Danghoaiminh@gmail.com</t>
        </is>
      </c>
      <c r="M229" t="inlineStr">
        <is>
          <t>Bible Challenge</t>
        </is>
      </c>
      <c r="N229" t="inlineStr">
        <is>
          <t>Mixed</t>
        </is>
      </c>
      <c r="O229" t="inlineStr">
        <is>
          <t>Team</t>
        </is>
      </c>
      <c r="P229" t="inlineStr"/>
      <c r="Q229" t="inlineStr"/>
    </row>
    <row r="230">
      <c r="A230" t="inlineStr">
        <is>
          <t>TLC</t>
        </is>
      </c>
      <c r="B230" t="inlineStr">
        <is>
          <t>3618801</t>
        </is>
      </c>
      <c r="C230" t="inlineStr">
        <is>
          <t>87</t>
        </is>
      </c>
      <c r="D230" t="inlineStr">
        <is>
          <t>validated</t>
        </is>
      </c>
      <c r="E230" t="b">
        <v>1</v>
      </c>
      <c r="F230">
        <f>IMAGE("https://chmeetings.blob.core.windows.net/846969/attachments/IGfWpmInt0CaKkM3u2CxkA/5fe96a31-6f8d-4c09-90f8-d4aafca24385.jpg")</f>
        <v/>
      </c>
      <c r="G230" t="inlineStr">
        <is>
          <t>Thao</t>
        </is>
      </c>
      <c r="H230" t="inlineStr">
        <is>
          <t>Dang</t>
        </is>
      </c>
      <c r="I230" t="inlineStr">
        <is>
          <t>Female</t>
        </is>
      </c>
      <c r="J230" t="n">
        <v>27</v>
      </c>
      <c r="K230" t="inlineStr">
        <is>
          <t>(714) 622-8253</t>
        </is>
      </c>
      <c r="L230" t="inlineStr">
        <is>
          <t>Thienthao6325@gmail.com</t>
        </is>
      </c>
      <c r="M230" t="inlineStr">
        <is>
          <t>Bible Challenge</t>
        </is>
      </c>
      <c r="N230" t="inlineStr">
        <is>
          <t>Mixed</t>
        </is>
      </c>
      <c r="O230" t="inlineStr">
        <is>
          <t>Team</t>
        </is>
      </c>
      <c r="P230" t="inlineStr"/>
      <c r="Q230" t="inlineStr"/>
    </row>
    <row r="231">
      <c r="A231" t="inlineStr">
        <is>
          <t>TLC</t>
        </is>
      </c>
      <c r="B231" t="inlineStr">
        <is>
          <t>4361946</t>
        </is>
      </c>
      <c r="C231" t="inlineStr">
        <is>
          <t>27</t>
        </is>
      </c>
      <c r="D231" t="inlineStr">
        <is>
          <t>validated</t>
        </is>
      </c>
      <c r="E231" t="b">
        <v>1</v>
      </c>
      <c r="F231">
        <f>IMAGE("https://chmeetings.blob.core.windows.net/846969/attachments/XrueUAlMOUyouOnd0HI8YQ/b7be290e-2f7f-4b78-a624-0e1aebc0b779.jpg")</f>
        <v/>
      </c>
      <c r="G231" t="inlineStr">
        <is>
          <t>Ivan</t>
        </is>
      </c>
      <c r="H231" t="inlineStr">
        <is>
          <t>Le</t>
        </is>
      </c>
      <c r="I231" t="inlineStr">
        <is>
          <t>Male</t>
        </is>
      </c>
      <c r="J231" t="n">
        <v>21</v>
      </c>
      <c r="K231" t="inlineStr">
        <is>
          <t>(714) 804-4074</t>
        </is>
      </c>
      <c r="L231" t="inlineStr">
        <is>
          <t>ivan92708@gmail.com</t>
        </is>
      </c>
      <c r="M231" t="inlineStr">
        <is>
          <t>Bible Challenge</t>
        </is>
      </c>
      <c r="N231" t="inlineStr">
        <is>
          <t>Mixed</t>
        </is>
      </c>
      <c r="O231" t="inlineStr">
        <is>
          <t>Team</t>
        </is>
      </c>
      <c r="P231" t="inlineStr"/>
      <c r="Q231" t="inlineStr"/>
    </row>
    <row r="232">
      <c r="A232" t="inlineStr">
        <is>
          <t>TLC</t>
        </is>
      </c>
      <c r="B232" t="inlineStr">
        <is>
          <t>3562839</t>
        </is>
      </c>
      <c r="C232" t="inlineStr">
        <is>
          <t>31</t>
        </is>
      </c>
      <c r="D232" t="inlineStr">
        <is>
          <t>pending_approval</t>
        </is>
      </c>
      <c r="E232" t="b">
        <v>1</v>
      </c>
      <c r="F232">
        <f>IMAGE("https://chmeetings.blob.core.windows.net/846969/attachments/YGg8n4kfIE6Jo6c8Uj0LMQ/267c68c0-1843-43e2-93a4-f5c795fb5c3f.jpg")</f>
        <v/>
      </c>
      <c r="G232" t="inlineStr">
        <is>
          <t>Shawn</t>
        </is>
      </c>
      <c r="H232" t="inlineStr">
        <is>
          <t>Le</t>
        </is>
      </c>
      <c r="I232" t="inlineStr">
        <is>
          <t>Male</t>
        </is>
      </c>
      <c r="J232" t="n">
        <v>28</v>
      </c>
      <c r="K232" t="inlineStr">
        <is>
          <t>(949) 416-8033</t>
        </is>
      </c>
      <c r="L232" t="inlineStr">
        <is>
          <t>shawn.le@thanhlechurch.com</t>
        </is>
      </c>
      <c r="M232" t="inlineStr">
        <is>
          <t>Scripture Memorization</t>
        </is>
      </c>
      <c r="N232" t="inlineStr">
        <is>
          <t>Mixed</t>
        </is>
      </c>
      <c r="O232" t="inlineStr">
        <is>
          <t>Team</t>
        </is>
      </c>
      <c r="P232" t="inlineStr"/>
      <c r="Q232" t="inlineStr"/>
    </row>
    <row r="233">
      <c r="A233" t="inlineStr">
        <is>
          <t>TLC</t>
        </is>
      </c>
      <c r="B233" t="inlineStr">
        <is>
          <t>4361932</t>
        </is>
      </c>
      <c r="C233" t="inlineStr">
        <is>
          <t>29</t>
        </is>
      </c>
      <c r="D233" t="inlineStr">
        <is>
          <t>pending</t>
        </is>
      </c>
      <c r="E233" t="b">
        <v>1</v>
      </c>
      <c r="F233">
        <f>IMAGE("https://chmeetings.blob.core.windows.net/846969/attachments/W9bzGDguQE6bvmSS8yK6g/23dde69a-d336-4d13-92cf-2f47abb43685.jpg")</f>
        <v/>
      </c>
      <c r="G233" t="inlineStr">
        <is>
          <t>Michelle</t>
        </is>
      </c>
      <c r="H233" t="inlineStr">
        <is>
          <t>Nguyen</t>
        </is>
      </c>
      <c r="I233" t="inlineStr">
        <is>
          <t>Female</t>
        </is>
      </c>
      <c r="J233" t="n">
        <v>13</v>
      </c>
      <c r="K233" t="inlineStr">
        <is>
          <t>(714) 466-5359</t>
        </is>
      </c>
      <c r="L233" t="inlineStr">
        <is>
          <t>michellephuongng@gmail.com</t>
        </is>
      </c>
      <c r="M233" t="inlineStr">
        <is>
          <t>Scripture Memorization</t>
        </is>
      </c>
      <c r="N233" t="inlineStr">
        <is>
          <t>Mixed</t>
        </is>
      </c>
      <c r="O233" t="inlineStr">
        <is>
          <t>Team</t>
        </is>
      </c>
      <c r="P233" t="inlineStr"/>
      <c r="Q233" t="inlineStr"/>
    </row>
    <row r="234">
      <c r="A234" t="inlineStr">
        <is>
          <t>TLC</t>
        </is>
      </c>
      <c r="B234" t="inlineStr">
        <is>
          <t>3562839</t>
        </is>
      </c>
      <c r="C234" t="inlineStr">
        <is>
          <t>31</t>
        </is>
      </c>
      <c r="D234" t="inlineStr">
        <is>
          <t>pending_approval</t>
        </is>
      </c>
      <c r="E234" t="b">
        <v>1</v>
      </c>
      <c r="F234">
        <f>IMAGE("https://chmeetings.blob.core.windows.net/846969/attachments/YGg8n4kfIE6Jo6c8Uj0LMQ/267c68c0-1843-43e2-93a4-f5c795fb5c3f.jpg")</f>
        <v/>
      </c>
      <c r="G234" t="inlineStr">
        <is>
          <t>Shawn</t>
        </is>
      </c>
      <c r="H234" t="inlineStr">
        <is>
          <t>Le</t>
        </is>
      </c>
      <c r="I234" t="inlineStr">
        <is>
          <t>Male</t>
        </is>
      </c>
      <c r="J234" t="n">
        <v>28</v>
      </c>
      <c r="K234" t="inlineStr">
        <is>
          <t>(949) 416-8033</t>
        </is>
      </c>
      <c r="L234" t="inlineStr">
        <is>
          <t>shawn.le@thanhlechurch.com</t>
        </is>
      </c>
      <c r="M234" t="inlineStr">
        <is>
          <t>Soccer - Coed Exhibition</t>
        </is>
      </c>
      <c r="N234" t="inlineStr">
        <is>
          <t>Mixed</t>
        </is>
      </c>
      <c r="O234" t="inlineStr">
        <is>
          <t>Team</t>
        </is>
      </c>
      <c r="P234" t="inlineStr"/>
      <c r="Q234" t="inlineStr"/>
    </row>
    <row r="235">
      <c r="A235" t="inlineStr">
        <is>
          <t>TLC</t>
        </is>
      </c>
      <c r="B235" t="inlineStr">
        <is>
          <t>3562839</t>
        </is>
      </c>
      <c r="C235" t="inlineStr">
        <is>
          <t>31</t>
        </is>
      </c>
      <c r="D235" t="inlineStr">
        <is>
          <t>pending_approval</t>
        </is>
      </c>
      <c r="E235" t="b">
        <v>1</v>
      </c>
      <c r="F235">
        <f>IMAGE("https://chmeetings.blob.core.windows.net/846969/attachments/YGg8n4kfIE6Jo6c8Uj0LMQ/267c68c0-1843-43e2-93a4-f5c795fb5c3f.jpg")</f>
        <v/>
      </c>
      <c r="G235" t="inlineStr">
        <is>
          <t>Shawn</t>
        </is>
      </c>
      <c r="H235" t="inlineStr">
        <is>
          <t>Le</t>
        </is>
      </c>
      <c r="I235" t="inlineStr">
        <is>
          <t>Male</t>
        </is>
      </c>
      <c r="J235" t="n">
        <v>28</v>
      </c>
      <c r="K235" t="inlineStr">
        <is>
          <t>(949) 416-8033</t>
        </is>
      </c>
      <c r="L235" t="inlineStr">
        <is>
          <t>shawn.le@thanhlechurch.com</t>
        </is>
      </c>
      <c r="M235" t="inlineStr">
        <is>
          <t>Track &amp; Field</t>
        </is>
      </c>
      <c r="N235" t="inlineStr">
        <is>
          <t>Mixed</t>
        </is>
      </c>
      <c r="O235" t="inlineStr">
        <is>
          <t>Team</t>
        </is>
      </c>
      <c r="P235" t="inlineStr"/>
      <c r="Q235" t="inlineStr"/>
    </row>
    <row r="236">
      <c r="A236" t="inlineStr">
        <is>
          <t>TLC</t>
        </is>
      </c>
      <c r="B236" t="inlineStr">
        <is>
          <t>3562839</t>
        </is>
      </c>
      <c r="C236" t="inlineStr">
        <is>
          <t>31</t>
        </is>
      </c>
      <c r="D236" t="inlineStr">
        <is>
          <t>pending_approval</t>
        </is>
      </c>
      <c r="E236" t="b">
        <v>1</v>
      </c>
      <c r="F236">
        <f>IMAGE("https://chmeetings.blob.core.windows.net/846969/attachments/YGg8n4kfIE6Jo6c8Uj0LMQ/267c68c0-1843-43e2-93a4-f5c795fb5c3f.jpg")</f>
        <v/>
      </c>
      <c r="G236" t="inlineStr">
        <is>
          <t>Shawn</t>
        </is>
      </c>
      <c r="H236" t="inlineStr">
        <is>
          <t>Le</t>
        </is>
      </c>
      <c r="I236" t="inlineStr">
        <is>
          <t>Male</t>
        </is>
      </c>
      <c r="J236" t="n">
        <v>28</v>
      </c>
      <c r="K236" t="inlineStr">
        <is>
          <t>(949) 416-8033</t>
        </is>
      </c>
      <c r="L236" t="inlineStr">
        <is>
          <t>shawn.le@thanhlechurch.com</t>
        </is>
      </c>
      <c r="M236" t="inlineStr">
        <is>
          <t>Tug-of-war</t>
        </is>
      </c>
      <c r="N236" t="inlineStr">
        <is>
          <t>Mixed</t>
        </is>
      </c>
      <c r="O236" t="inlineStr">
        <is>
          <t>Team</t>
        </is>
      </c>
      <c r="P236" t="inlineStr"/>
      <c r="Q236" t="inlineStr"/>
    </row>
    <row r="237">
      <c r="A237" t="inlineStr">
        <is>
          <t>WCC</t>
        </is>
      </c>
      <c r="B237" t="inlineStr">
        <is>
          <t>3615930</t>
        </is>
      </c>
      <c r="C237" t="inlineStr">
        <is>
          <t>132</t>
        </is>
      </c>
      <c r="D237" t="inlineStr">
        <is>
          <t>validated</t>
        </is>
      </c>
      <c r="E237" t="b">
        <v>1</v>
      </c>
      <c r="F237">
        <f>IMAGE("https://chmeetings.blob.core.windows.net/846969/attachments/el0BLZyZ3EeCAz93XTduBg/16121ded-bc36-4590-a3b9-de3d81525d74.jpg")</f>
        <v/>
      </c>
      <c r="G237" t="inlineStr">
        <is>
          <t>Daniel</t>
        </is>
      </c>
      <c r="H237" t="inlineStr">
        <is>
          <t>Doan</t>
        </is>
      </c>
      <c r="I237" t="inlineStr">
        <is>
          <t>Male</t>
        </is>
      </c>
      <c r="J237" t="n">
        <v>33</v>
      </c>
      <c r="K237" t="inlineStr">
        <is>
          <t>(408) 425-5606</t>
        </is>
      </c>
      <c r="L237" t="inlineStr">
        <is>
          <t>doubledoan@gmail.com</t>
        </is>
      </c>
      <c r="M237" t="inlineStr">
        <is>
          <t>Bible Challenge</t>
        </is>
      </c>
      <c r="N237" t="inlineStr">
        <is>
          <t>Mixed</t>
        </is>
      </c>
      <c r="O237" t="inlineStr">
        <is>
          <t>Team</t>
        </is>
      </c>
      <c r="P237" t="inlineStr"/>
      <c r="Q237" t="inlineStr"/>
    </row>
    <row r="238">
      <c r="A238" t="inlineStr">
        <is>
          <t>WCC</t>
        </is>
      </c>
      <c r="B238" t="inlineStr">
        <is>
          <t>3636515</t>
        </is>
      </c>
      <c r="C238" t="inlineStr">
        <is>
          <t>135</t>
        </is>
      </c>
      <c r="D238" t="inlineStr">
        <is>
          <t>validated</t>
        </is>
      </c>
      <c r="E238" t="b">
        <v>1</v>
      </c>
      <c r="F238">
        <f>IMAGE("https://chmeetings.blob.core.windows.net/846969/attachments/jOasv15W9EGIhUP8ZS2m4g/c7928860-e892-47de-9581-5c2c5b4ce84a.jpg")</f>
        <v/>
      </c>
      <c r="G238" t="inlineStr">
        <is>
          <t>Peter</t>
        </is>
      </c>
      <c r="H238" t="inlineStr">
        <is>
          <t>Duong</t>
        </is>
      </c>
      <c r="I238" t="inlineStr">
        <is>
          <t>Male</t>
        </is>
      </c>
      <c r="J238" t="n">
        <v>29</v>
      </c>
      <c r="K238" t="inlineStr">
        <is>
          <t>(714) 723-2835</t>
        </is>
      </c>
      <c r="L238" t="inlineStr">
        <is>
          <t>19duong96@gmail.com</t>
        </is>
      </c>
      <c r="M238" t="inlineStr">
        <is>
          <t>Bible Challenge</t>
        </is>
      </c>
      <c r="N238" t="inlineStr">
        <is>
          <t>Mixed</t>
        </is>
      </c>
      <c r="O238" t="inlineStr">
        <is>
          <t>Team</t>
        </is>
      </c>
      <c r="P238" t="inlineStr"/>
      <c r="Q238" t="inlineStr"/>
    </row>
    <row r="239">
      <c r="A239" t="inlineStr">
        <is>
          <t>WCC</t>
        </is>
      </c>
      <c r="B239" t="inlineStr">
        <is>
          <t>3615931</t>
        </is>
      </c>
      <c r="C239" t="inlineStr">
        <is>
          <t>133</t>
        </is>
      </c>
      <c r="D239" t="inlineStr">
        <is>
          <t>validated</t>
        </is>
      </c>
      <c r="E239" t="b">
        <v>1</v>
      </c>
      <c r="F239">
        <f>IMAGE("https://chmeetings.blob.core.windows.net/846969/attachments/NU7Pn1JdZUSPERudexN2Yg/147a78db-c0fe-4261-8790-cce83b01ea97.jpg")</f>
        <v/>
      </c>
      <c r="G239" t="inlineStr">
        <is>
          <t>Eric</t>
        </is>
      </c>
      <c r="H239" t="inlineStr">
        <is>
          <t>Pham</t>
        </is>
      </c>
      <c r="I239" t="inlineStr">
        <is>
          <t>Male</t>
        </is>
      </c>
      <c r="J239" t="n">
        <v>24</v>
      </c>
      <c r="K239" t="inlineStr">
        <is>
          <t>(714) 880-5384</t>
        </is>
      </c>
      <c r="L239" t="inlineStr">
        <is>
          <t>erc.pham@gmail.com</t>
        </is>
      </c>
      <c r="M239" t="inlineStr">
        <is>
          <t>Bible Challenge</t>
        </is>
      </c>
      <c r="N239" t="inlineStr">
        <is>
          <t>Mixed</t>
        </is>
      </c>
      <c r="O239" t="inlineStr">
        <is>
          <t>Team</t>
        </is>
      </c>
      <c r="P239" t="inlineStr"/>
      <c r="Q239" t="inlineStr"/>
    </row>
    <row r="240">
      <c r="A240" t="inlineStr">
        <is>
          <t>WCC</t>
        </is>
      </c>
      <c r="B240" t="inlineStr">
        <is>
          <t>3636090</t>
        </is>
      </c>
      <c r="C240" t="inlineStr">
        <is>
          <t>136</t>
        </is>
      </c>
      <c r="D240" t="inlineStr">
        <is>
          <t>validated</t>
        </is>
      </c>
      <c r="E240" t="b">
        <v>1</v>
      </c>
      <c r="F240">
        <f>IMAGE("https://chmeetings.blob.core.windows.net/846969/attachments/LgS9b1PnVEaUrKe8jMljbw/e63a6371-6a4a-4741-aead-682ab4f50def.jpg")</f>
        <v/>
      </c>
      <c r="G240" t="inlineStr">
        <is>
          <t>Tony</t>
        </is>
      </c>
      <c r="H240" t="inlineStr">
        <is>
          <t>Van</t>
        </is>
      </c>
      <c r="I240" t="inlineStr">
        <is>
          <t>Male</t>
        </is>
      </c>
      <c r="J240" t="n">
        <v>31</v>
      </c>
      <c r="K240" t="inlineStr">
        <is>
          <t>(714) 248-5140</t>
        </is>
      </c>
      <c r="L240" t="inlineStr">
        <is>
          <t>tonyvan1030@gmail.com</t>
        </is>
      </c>
      <c r="M240" t="inlineStr">
        <is>
          <t>Bible Challenge</t>
        </is>
      </c>
      <c r="N240" t="inlineStr">
        <is>
          <t>Mixed</t>
        </is>
      </c>
      <c r="O240" t="inlineStr">
        <is>
          <t>Team</t>
        </is>
      </c>
      <c r="P240" t="inlineStr"/>
      <c r="Q240" t="inlineStr"/>
    </row>
    <row r="241">
      <c r="A241" t="inlineStr">
        <is>
          <t>WCC</t>
        </is>
      </c>
      <c r="B241" t="inlineStr">
        <is>
          <t>3615931</t>
        </is>
      </c>
      <c r="C241" t="inlineStr">
        <is>
          <t>133</t>
        </is>
      </c>
      <c r="D241" t="inlineStr">
        <is>
          <t>validated</t>
        </is>
      </c>
      <c r="E241" t="b">
        <v>1</v>
      </c>
      <c r="F241">
        <f>IMAGE("https://chmeetings.blob.core.windows.net/846969/attachments/NU7Pn1JdZUSPERudexN2Yg/147a78db-c0fe-4261-8790-cce83b01ea97.jpg")</f>
        <v/>
      </c>
      <c r="G241" t="inlineStr">
        <is>
          <t>Eric</t>
        </is>
      </c>
      <c r="H241" t="inlineStr">
        <is>
          <t>Pham</t>
        </is>
      </c>
      <c r="I241" t="inlineStr">
        <is>
          <t>Male</t>
        </is>
      </c>
      <c r="J241" t="n">
        <v>24</v>
      </c>
      <c r="K241" t="inlineStr">
        <is>
          <t>(714) 880-5384</t>
        </is>
      </c>
      <c r="L241" t="inlineStr">
        <is>
          <t>erc.pham@gmail.com</t>
        </is>
      </c>
      <c r="M241" t="inlineStr">
        <is>
          <t>Scripture Memorization</t>
        </is>
      </c>
      <c r="N241" t="inlineStr">
        <is>
          <t>Mixed</t>
        </is>
      </c>
      <c r="O241" t="inlineStr">
        <is>
          <t>Team</t>
        </is>
      </c>
      <c r="P241" t="inlineStr"/>
      <c r="Q241" t="inlineStr"/>
    </row>
    <row r="242">
      <c r="A242" t="inlineStr">
        <is>
          <t>WCC</t>
        </is>
      </c>
      <c r="B242" t="inlineStr">
        <is>
          <t>3636515</t>
        </is>
      </c>
      <c r="C242" t="inlineStr">
        <is>
          <t>135</t>
        </is>
      </c>
      <c r="D242" t="inlineStr">
        <is>
          <t>validated</t>
        </is>
      </c>
      <c r="E242" t="b">
        <v>1</v>
      </c>
      <c r="F242">
        <f>IMAGE("https://chmeetings.blob.core.windows.net/846969/attachments/jOasv15W9EGIhUP8ZS2m4g/c7928860-e892-47de-9581-5c2c5b4ce84a.jpg")</f>
        <v/>
      </c>
      <c r="G242" t="inlineStr">
        <is>
          <t>Peter</t>
        </is>
      </c>
      <c r="H242" t="inlineStr">
        <is>
          <t>Duong</t>
        </is>
      </c>
      <c r="I242" t="inlineStr">
        <is>
          <t>Male</t>
        </is>
      </c>
      <c r="J242" t="n">
        <v>29</v>
      </c>
      <c r="K242" t="inlineStr">
        <is>
          <t>(714) 723-2835</t>
        </is>
      </c>
      <c r="L242" t="inlineStr">
        <is>
          <t>19duong96@gmail.com</t>
        </is>
      </c>
      <c r="M242" t="inlineStr">
        <is>
          <t>Tennis</t>
        </is>
      </c>
      <c r="N242" t="inlineStr">
        <is>
          <t>Men</t>
        </is>
      </c>
      <c r="O242" t="inlineStr">
        <is>
          <t>Doubles</t>
        </is>
      </c>
      <c r="P242" t="inlineStr"/>
      <c r="Q242" t="inlineStr">
        <is>
          <t>Tony van</t>
        </is>
      </c>
    </row>
    <row r="243">
      <c r="A243" t="inlineStr">
        <is>
          <t>WCC</t>
        </is>
      </c>
      <c r="B243" t="inlineStr">
        <is>
          <t>3636090</t>
        </is>
      </c>
      <c r="C243" t="inlineStr">
        <is>
          <t>136</t>
        </is>
      </c>
      <c r="D243" t="inlineStr">
        <is>
          <t>validated</t>
        </is>
      </c>
      <c r="E243" t="b">
        <v>1</v>
      </c>
      <c r="F243">
        <f>IMAGE("https://chmeetings.blob.core.windows.net/846969/attachments/LgS9b1PnVEaUrKe8jMljbw/e63a6371-6a4a-4741-aead-682ab4f50def.jpg")</f>
        <v/>
      </c>
      <c r="G243" t="inlineStr">
        <is>
          <t>Tony</t>
        </is>
      </c>
      <c r="H243" t="inlineStr">
        <is>
          <t>Van</t>
        </is>
      </c>
      <c r="I243" t="inlineStr">
        <is>
          <t>Male</t>
        </is>
      </c>
      <c r="J243" t="n">
        <v>31</v>
      </c>
      <c r="K243" t="inlineStr">
        <is>
          <t>(714) 248-5140</t>
        </is>
      </c>
      <c r="L243" t="inlineStr">
        <is>
          <t>tonyvan1030@gmail.com</t>
        </is>
      </c>
      <c r="M243" t="inlineStr">
        <is>
          <t>Tennis</t>
        </is>
      </c>
      <c r="N243" t="inlineStr">
        <is>
          <t>Men</t>
        </is>
      </c>
      <c r="O243" t="inlineStr">
        <is>
          <t>Doubles</t>
        </is>
      </c>
      <c r="P243" t="inlineStr"/>
      <c r="Q243" t="inlineStr">
        <is>
          <t>Peter Duong</t>
        </is>
      </c>
    </row>
    <row r="244">
      <c r="A244" t="inlineStr">
        <is>
          <t>WCC</t>
        </is>
      </c>
      <c r="B244" t="inlineStr">
        <is>
          <t>3615931</t>
        </is>
      </c>
      <c r="C244" t="inlineStr">
        <is>
          <t>133</t>
        </is>
      </c>
      <c r="D244" t="inlineStr">
        <is>
          <t>validated</t>
        </is>
      </c>
      <c r="E244" t="b">
        <v>1</v>
      </c>
      <c r="F244">
        <f>IMAGE("https://chmeetings.blob.core.windows.net/846969/attachments/NU7Pn1JdZUSPERudexN2Yg/147a78db-c0fe-4261-8790-cce83b01ea97.jpg")</f>
        <v/>
      </c>
      <c r="G244" t="inlineStr">
        <is>
          <t>Eric</t>
        </is>
      </c>
      <c r="H244" t="inlineStr">
        <is>
          <t>Pham</t>
        </is>
      </c>
      <c r="I244" t="inlineStr">
        <is>
          <t>Male</t>
        </is>
      </c>
      <c r="J244" t="n">
        <v>24</v>
      </c>
      <c r="K244" t="inlineStr">
        <is>
          <t>(714) 880-5384</t>
        </is>
      </c>
      <c r="L244" t="inlineStr">
        <is>
          <t>erc.pham@gmail.com</t>
        </is>
      </c>
      <c r="M244" t="inlineStr">
        <is>
          <t>Track &amp; Field</t>
        </is>
      </c>
      <c r="N244" t="inlineStr">
        <is>
          <t>Mixed</t>
        </is>
      </c>
      <c r="O244" t="inlineStr">
        <is>
          <t>Team</t>
        </is>
      </c>
      <c r="P244" t="inlineStr"/>
      <c r="Q244" t="inlineStr"/>
    </row>
    <row r="245">
      <c r="A245" t="inlineStr">
        <is>
          <t>WCC</t>
        </is>
      </c>
      <c r="B245" t="inlineStr">
        <is>
          <t>3615930</t>
        </is>
      </c>
      <c r="C245" t="inlineStr">
        <is>
          <t>132</t>
        </is>
      </c>
      <c r="D245" t="inlineStr">
        <is>
          <t>validated</t>
        </is>
      </c>
      <c r="E245" t="b">
        <v>1</v>
      </c>
      <c r="F245">
        <f>IMAGE("https://chmeetings.blob.core.windows.net/846969/attachments/el0BLZyZ3EeCAz93XTduBg/16121ded-bc36-4590-a3b9-de3d81525d74.jpg")</f>
        <v/>
      </c>
      <c r="G245" t="inlineStr">
        <is>
          <t>Daniel</t>
        </is>
      </c>
      <c r="H245" t="inlineStr">
        <is>
          <t>Doan</t>
        </is>
      </c>
      <c r="I245" t="inlineStr">
        <is>
          <t>Male</t>
        </is>
      </c>
      <c r="J245" t="n">
        <v>33</v>
      </c>
      <c r="K245" t="inlineStr">
        <is>
          <t>(408) 425-5606</t>
        </is>
      </c>
      <c r="L245" t="inlineStr">
        <is>
          <t>doubledoan@gmail.com</t>
        </is>
      </c>
      <c r="M245" t="inlineStr">
        <is>
          <t>Tug-of-war</t>
        </is>
      </c>
      <c r="N245" t="inlineStr">
        <is>
          <t>Mixed</t>
        </is>
      </c>
      <c r="O245" t="inlineStr">
        <is>
          <t>Team</t>
        </is>
      </c>
      <c r="P245" t="inlineStr"/>
      <c r="Q245" t="inlineStr"/>
    </row>
    <row r="246">
      <c r="A246" t="inlineStr">
        <is>
          <t>WCC</t>
        </is>
      </c>
      <c r="B246" t="inlineStr">
        <is>
          <t>3636515</t>
        </is>
      </c>
      <c r="C246" t="inlineStr">
        <is>
          <t>135</t>
        </is>
      </c>
      <c r="D246" t="inlineStr">
        <is>
          <t>validated</t>
        </is>
      </c>
      <c r="E246" t="b">
        <v>1</v>
      </c>
      <c r="F246">
        <f>IMAGE("https://chmeetings.blob.core.windows.net/846969/attachments/jOasv15W9EGIhUP8ZS2m4g/c7928860-e892-47de-9581-5c2c5b4ce84a.jpg")</f>
        <v/>
      </c>
      <c r="G246" t="inlineStr">
        <is>
          <t>Peter</t>
        </is>
      </c>
      <c r="H246" t="inlineStr">
        <is>
          <t>Duong</t>
        </is>
      </c>
      <c r="I246" t="inlineStr">
        <is>
          <t>Male</t>
        </is>
      </c>
      <c r="J246" t="n">
        <v>29</v>
      </c>
      <c r="K246" t="inlineStr">
        <is>
          <t>(714) 723-2835</t>
        </is>
      </c>
      <c r="L246" t="inlineStr">
        <is>
          <t>19duong96@gmail.com</t>
        </is>
      </c>
      <c r="M246" t="inlineStr">
        <is>
          <t>Tug-of-war</t>
        </is>
      </c>
      <c r="N246" t="inlineStr">
        <is>
          <t>Mixed</t>
        </is>
      </c>
      <c r="O246" t="inlineStr">
        <is>
          <t>Team</t>
        </is>
      </c>
      <c r="P246" t="inlineStr"/>
      <c r="Q246" t="inlineStr"/>
    </row>
    <row r="247">
      <c r="A247" t="inlineStr">
        <is>
          <t>WCC</t>
        </is>
      </c>
      <c r="B247" t="inlineStr">
        <is>
          <t>3636090</t>
        </is>
      </c>
      <c r="C247" t="inlineStr">
        <is>
          <t>136</t>
        </is>
      </c>
      <c r="D247" t="inlineStr">
        <is>
          <t>validated</t>
        </is>
      </c>
      <c r="E247" t="b">
        <v>1</v>
      </c>
      <c r="F247">
        <f>IMAGE("https://chmeetings.blob.core.windows.net/846969/attachments/LgS9b1PnVEaUrKe8jMljbw/e63a6371-6a4a-4741-aead-682ab4f50def.jpg")</f>
        <v/>
      </c>
      <c r="G247" t="inlineStr">
        <is>
          <t>Tony</t>
        </is>
      </c>
      <c r="H247" t="inlineStr">
        <is>
          <t>Van</t>
        </is>
      </c>
      <c r="I247" t="inlineStr">
        <is>
          <t>Male</t>
        </is>
      </c>
      <c r="J247" t="n">
        <v>31</v>
      </c>
      <c r="K247" t="inlineStr">
        <is>
          <t>(714) 248-5140</t>
        </is>
      </c>
      <c r="L247" t="inlineStr">
        <is>
          <t>tonyvan1030@gmail.com</t>
        </is>
      </c>
      <c r="M247" t="inlineStr">
        <is>
          <t>Tug-of-war</t>
        </is>
      </c>
      <c r="N247" t="inlineStr">
        <is>
          <t>Mixed</t>
        </is>
      </c>
      <c r="O247" t="inlineStr">
        <is>
          <t>Team</t>
        </is>
      </c>
      <c r="P247" t="inlineStr"/>
      <c r="Q247" t="inlineStr"/>
    </row>
    <row r="248">
      <c r="A248" t="inlineStr">
        <is>
          <t>WCC</t>
        </is>
      </c>
      <c r="B248" t="inlineStr">
        <is>
          <t>3634935</t>
        </is>
      </c>
      <c r="C248" t="inlineStr">
        <is>
          <t>134</t>
        </is>
      </c>
      <c r="D248" t="inlineStr">
        <is>
          <t>pending</t>
        </is>
      </c>
      <c r="E248" t="b">
        <v>0</v>
      </c>
      <c r="F248">
        <f>IMAGE("https://chmeetings.blob.core.windows.net/846969/attachments/9nEGy85sokmJaBeo9nAUDw/a8b80cd3-43d6-42a5-b2f6-86c0ed51a320.jpg")</f>
        <v/>
      </c>
      <c r="G248" t="inlineStr">
        <is>
          <t>Kimmi</t>
        </is>
      </c>
      <c r="H248" t="inlineStr">
        <is>
          <t>Hoang</t>
        </is>
      </c>
      <c r="I248" t="inlineStr">
        <is>
          <t>Female</t>
        </is>
      </c>
      <c r="J248" t="n">
        <v>16</v>
      </c>
      <c r="K248" t="inlineStr">
        <is>
          <t>(714) 468-6918</t>
        </is>
      </c>
      <c r="L248" t="inlineStr">
        <is>
          <t>kimmipatootie22@gmail.com</t>
        </is>
      </c>
      <c r="M248" t="inlineStr">
        <is>
          <t>Volleyball</t>
        </is>
      </c>
      <c r="N248" t="inlineStr">
        <is>
          <t>Women</t>
        </is>
      </c>
      <c r="O248" t="inlineStr">
        <is>
          <t>Team</t>
        </is>
      </c>
      <c r="P248" t="inlineStr"/>
      <c r="Q248" t="inlineStr"/>
    </row>
    <row r="249">
      <c r="A249" t="inlineStr">
        <is>
          <t>WSD</t>
        </is>
      </c>
      <c r="B249" t="inlineStr">
        <is>
          <t>3625889</t>
        </is>
      </c>
      <c r="C249" t="inlineStr">
        <is>
          <t>104</t>
        </is>
      </c>
      <c r="D249" t="inlineStr">
        <is>
          <t>validated</t>
        </is>
      </c>
      <c r="E249" t="b">
        <v>1</v>
      </c>
      <c r="F249">
        <f>IMAGE("https://chmeetings.blob.core.windows.net/846969/attachments/VduSCcfrdUWJ7gbl9GLKMw/75acb3df-696d-448f-8690-af924f8e215e.jpg")</f>
        <v/>
      </c>
      <c r="G249" t="inlineStr">
        <is>
          <t>Timmy</t>
        </is>
      </c>
      <c r="H249" t="inlineStr">
        <is>
          <t>Tran</t>
        </is>
      </c>
      <c r="I249" t="inlineStr">
        <is>
          <t>Male</t>
        </is>
      </c>
      <c r="J249" t="n">
        <v>19</v>
      </c>
      <c r="K249" t="inlineStr">
        <is>
          <t>(619) 719-0024</t>
        </is>
      </c>
      <c r="L249" t="inlineStr">
        <is>
          <t>timmyltran@gmail.com</t>
        </is>
      </c>
      <c r="M249" t="inlineStr">
        <is>
          <t>Pickleball</t>
        </is>
      </c>
      <c r="N249" t="inlineStr">
        <is>
          <t>Men</t>
        </is>
      </c>
      <c r="O249" t="inlineStr">
        <is>
          <t>Doubles</t>
        </is>
      </c>
      <c r="P249" t="inlineStr"/>
      <c r="Q249" t="inlineStr">
        <is>
          <t>DT Van</t>
        </is>
      </c>
    </row>
    <row r="250">
      <c r="A250" t="inlineStr">
        <is>
          <t>WSD</t>
        </is>
      </c>
      <c r="B250" t="inlineStr">
        <is>
          <t>3625889</t>
        </is>
      </c>
      <c r="C250" t="inlineStr">
        <is>
          <t>104</t>
        </is>
      </c>
      <c r="D250" t="inlineStr">
        <is>
          <t>validated</t>
        </is>
      </c>
      <c r="E250" t="b">
        <v>1</v>
      </c>
      <c r="F250">
        <f>IMAGE("https://chmeetings.blob.core.windows.net/846969/attachments/VduSCcfrdUWJ7gbl9GLKMw/75acb3df-696d-448f-8690-af924f8e215e.jpg")</f>
        <v/>
      </c>
      <c r="G250" t="inlineStr">
        <is>
          <t>Timmy</t>
        </is>
      </c>
      <c r="H250" t="inlineStr">
        <is>
          <t>Tran</t>
        </is>
      </c>
      <c r="I250" t="inlineStr">
        <is>
          <t>Male</t>
        </is>
      </c>
      <c r="J250" t="n">
        <v>19</v>
      </c>
      <c r="K250" t="inlineStr">
        <is>
          <t>(619) 719-0024</t>
        </is>
      </c>
      <c r="L250" t="inlineStr">
        <is>
          <t>timmyltran@gmail.com</t>
        </is>
      </c>
      <c r="M250" t="inlineStr">
        <is>
          <t>Tug-of-war</t>
        </is>
      </c>
      <c r="N250" t="inlineStr">
        <is>
          <t>Mixed</t>
        </is>
      </c>
      <c r="O250" t="inlineStr">
        <is>
          <t>Team</t>
        </is>
      </c>
      <c r="P250" t="inlineStr"/>
      <c r="Q250" t="inlineStr"/>
    </row>
    <row r="251">
      <c r="A251" t="inlineStr">
        <is>
          <t>WSD</t>
        </is>
      </c>
      <c r="B251" t="inlineStr">
        <is>
          <t>3625889</t>
        </is>
      </c>
      <c r="C251" t="inlineStr">
        <is>
          <t>104</t>
        </is>
      </c>
      <c r="D251" t="inlineStr">
        <is>
          <t>validated</t>
        </is>
      </c>
      <c r="E251" t="b">
        <v>1</v>
      </c>
      <c r="F251">
        <f>IMAGE("https://chmeetings.blob.core.windows.net/846969/attachments/VduSCcfrdUWJ7gbl9GLKMw/75acb3df-696d-448f-8690-af924f8e215e.jpg")</f>
        <v/>
      </c>
      <c r="G251" t="inlineStr">
        <is>
          <t>Timmy</t>
        </is>
      </c>
      <c r="H251" t="inlineStr">
        <is>
          <t>Tran</t>
        </is>
      </c>
      <c r="I251" t="inlineStr">
        <is>
          <t>Male</t>
        </is>
      </c>
      <c r="J251" t="n">
        <v>19</v>
      </c>
      <c r="K251" t="inlineStr">
        <is>
          <t>(619) 719-0024</t>
        </is>
      </c>
      <c r="L251" t="inlineStr">
        <is>
          <t>timmyltran@gmail.com</t>
        </is>
      </c>
      <c r="M251" t="inlineStr">
        <is>
          <t>Volleyball</t>
        </is>
      </c>
      <c r="N251" t="inlineStr">
        <is>
          <t>Men</t>
        </is>
      </c>
      <c r="O251" t="inlineStr">
        <is>
          <t>Team</t>
        </is>
      </c>
      <c r="P251" t="inlineStr"/>
      <c r="Q251" t="inlineStr"/>
    </row>
  </sheetData>
  <autoFilter ref="A1:Q25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6.5" customWidth="1" min="12" max="12"/>
    <col width="8" customWidth="1" min="13" max="13"/>
    <col width="5.5" customWidth="1" min="14" max="14"/>
    <col width="7" customWidth="1" min="15" max="15"/>
    <col width="6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Duong Kaitlyn</t>
        </is>
      </c>
      <c r="H2" t="inlineStr">
        <is>
          <t>Female</t>
        </is>
      </c>
      <c r="I2" t="n">
        <v>19</v>
      </c>
      <c r="J2" t="inlineStr">
        <is>
          <t>(714) 606-9350</t>
        </is>
      </c>
      <c r="K2" t="inlineStr">
        <is>
          <t>dnyltiak@gmail.com</t>
        </is>
      </c>
      <c r="L2" t="inlineStr">
        <is>
          <t>Badminton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Yanni Le</t>
        </is>
      </c>
    </row>
    <row r="3">
      <c r="A3" t="inlineStr">
        <is>
          <t>FVC</t>
        </is>
      </c>
      <c r="B3" t="inlineStr">
        <is>
          <t>4361935</t>
        </is>
      </c>
      <c r="C3" t="inlineStr">
        <is>
          <t>67</t>
        </is>
      </c>
      <c r="D3" t="inlineStr">
        <is>
          <t>validated</t>
        </is>
      </c>
      <c r="E3" t="b">
        <v>0</v>
      </c>
      <c r="F3">
        <f>IMAGE("https://chmeetings.blob.core.windows.net/846969/attachments/R67AObtP0qrOKz5JMVug/8581a3f9-95f3-4d53-845b-829780445710.jpg")</f>
        <v/>
      </c>
      <c r="G3" t="inlineStr">
        <is>
          <t>Wang Stephy</t>
        </is>
      </c>
      <c r="H3" t="inlineStr">
        <is>
          <t>Female</t>
        </is>
      </c>
      <c r="I3" t="n">
        <v>24</v>
      </c>
      <c r="J3" t="inlineStr">
        <is>
          <t>(626) 497-4697</t>
        </is>
      </c>
      <c r="K3" t="inlineStr">
        <is>
          <t>Stephy12304@gmail.com</t>
        </is>
      </c>
      <c r="L3" t="inlineStr">
        <is>
          <t>Badminton</t>
        </is>
      </c>
      <c r="M3" t="inlineStr">
        <is>
          <t>Women</t>
        </is>
      </c>
      <c r="N3" t="inlineStr">
        <is>
          <t>Doubles</t>
        </is>
      </c>
      <c r="O3" t="inlineStr"/>
      <c r="P3" t="inlineStr">
        <is>
          <t>Tina</t>
        </is>
      </c>
    </row>
    <row r="4">
      <c r="A4" t="inlineStr">
        <is>
          <t>GAC</t>
        </is>
      </c>
      <c r="B4" t="inlineStr">
        <is>
          <t>3610916</t>
        </is>
      </c>
      <c r="C4" t="inlineStr">
        <is>
          <t>106</t>
        </is>
      </c>
      <c r="D4" t="inlineStr">
        <is>
          <t>validated</t>
        </is>
      </c>
      <c r="E4" t="b">
        <v>1</v>
      </c>
      <c r="F4">
        <f>IMAGE("https://chmeetings.blob.core.windows.net/846969/attachments/R2ULqwBOzEcfjGBlZ6NOg/e7732b7a-5531-4a12-957e-aaf157b04b52.jpg")</f>
        <v/>
      </c>
      <c r="G4" t="inlineStr">
        <is>
          <t>Nguyen Dung</t>
        </is>
      </c>
      <c r="H4" t="inlineStr">
        <is>
          <t>Male</t>
        </is>
      </c>
      <c r="I4" t="n">
        <v>34</v>
      </c>
      <c r="J4" t="inlineStr">
        <is>
          <t>(408) 816-9773</t>
        </is>
      </c>
      <c r="K4" t="inlineStr">
        <is>
          <t>Adn@duck.com</t>
        </is>
      </c>
      <c r="L4" t="inlineStr">
        <is>
          <t>Badminton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Nhi Nguyen</t>
        </is>
      </c>
    </row>
    <row r="5">
      <c r="A5" t="inlineStr">
        <is>
          <t>GAC</t>
        </is>
      </c>
      <c r="B5" t="inlineStr">
        <is>
          <t>4362356</t>
        </is>
      </c>
      <c r="C5" t="inlineStr">
        <is>
          <t>115</t>
        </is>
      </c>
      <c r="D5" t="inlineStr">
        <is>
          <t>validated</t>
        </is>
      </c>
      <c r="E5" t="b">
        <v>1</v>
      </c>
      <c r="F5">
        <f>IMAGE("https://chmeetings.blob.core.windows.net/846969/attachments/b2wuZtU20k6fS0QeesnJyQ/59603b15-0eb7-4a31-a342-a678670261a5.jpg")</f>
        <v/>
      </c>
      <c r="G5" t="inlineStr">
        <is>
          <t>Nguyen Truc Nhi</t>
        </is>
      </c>
      <c r="H5" t="inlineStr">
        <is>
          <t>Female</t>
        </is>
      </c>
      <c r="I5" t="n">
        <v>34</v>
      </c>
      <c r="J5" t="inlineStr">
        <is>
          <t>(408) 442-7876</t>
        </is>
      </c>
      <c r="K5" t="inlineStr">
        <is>
          <t>email.truc.nguyen@gmail.com</t>
        </is>
      </c>
      <c r="L5" t="inlineStr">
        <is>
          <t>Badminton</t>
        </is>
      </c>
      <c r="M5" t="inlineStr">
        <is>
          <t>Mixed</t>
        </is>
      </c>
      <c r="N5" t="inlineStr">
        <is>
          <t>Doubles</t>
        </is>
      </c>
      <c r="O5" t="inlineStr"/>
      <c r="P5" t="inlineStr">
        <is>
          <t>Dung Nguyen</t>
        </is>
      </c>
    </row>
    <row r="6">
      <c r="A6" t="inlineStr">
        <is>
          <t>GAC</t>
        </is>
      </c>
      <c r="B6" t="inlineStr">
        <is>
          <t>3615957</t>
        </is>
      </c>
      <c r="C6" t="inlineStr">
        <is>
          <t>110</t>
        </is>
      </c>
      <c r="D6" t="inlineStr">
        <is>
          <t>validated</t>
        </is>
      </c>
      <c r="E6" t="b">
        <v>1</v>
      </c>
      <c r="F6">
        <f>IMAGE("https://chmeetings.blob.core.windows.net/846969/attachments/Kdpjhjg39UmtS12V5Nbyyg/bbe6199a-c907-413d-b103-9e4128d54753.jpg")</f>
        <v/>
      </c>
      <c r="G6" t="inlineStr">
        <is>
          <t>Bui Minhthu</t>
        </is>
      </c>
      <c r="H6" t="inlineStr">
        <is>
          <t>Female</t>
        </is>
      </c>
      <c r="I6" t="n">
        <v>34</v>
      </c>
      <c r="J6" t="inlineStr">
        <is>
          <t>(714) 548-5798</t>
        </is>
      </c>
      <c r="K6" t="inlineStr">
        <is>
          <t>Mtbui03@gmail.com</t>
        </is>
      </c>
      <c r="L6" t="inlineStr">
        <is>
          <t>Badminton</t>
        </is>
      </c>
      <c r="M6" t="inlineStr">
        <is>
          <t>Women</t>
        </is>
      </c>
      <c r="N6" t="inlineStr">
        <is>
          <t>Doubles</t>
        </is>
      </c>
      <c r="O6" t="inlineStr"/>
      <c r="P6" t="inlineStr">
        <is>
          <t>Nhi Nguyen</t>
        </is>
      </c>
    </row>
    <row r="7">
      <c r="A7" t="inlineStr">
        <is>
          <t>GAC</t>
        </is>
      </c>
      <c r="B7" t="inlineStr">
        <is>
          <t>4362356</t>
        </is>
      </c>
      <c r="C7" t="inlineStr">
        <is>
          <t>115</t>
        </is>
      </c>
      <c r="D7" t="inlineStr">
        <is>
          <t>validated</t>
        </is>
      </c>
      <c r="E7" t="b">
        <v>1</v>
      </c>
      <c r="F7">
        <f>IMAGE("https://chmeetings.blob.core.windows.net/846969/attachments/b2wuZtU20k6fS0QeesnJyQ/59603b15-0eb7-4a31-a342-a678670261a5.jpg")</f>
        <v/>
      </c>
      <c r="G7" t="inlineStr">
        <is>
          <t>Nguyen Truc Nhi</t>
        </is>
      </c>
      <c r="H7" t="inlineStr">
        <is>
          <t>Female</t>
        </is>
      </c>
      <c r="I7" t="n">
        <v>34</v>
      </c>
      <c r="J7" t="inlineStr">
        <is>
          <t>(408) 442-7876</t>
        </is>
      </c>
      <c r="K7" t="inlineStr">
        <is>
          <t>email.truc.nguyen@gmail.com</t>
        </is>
      </c>
      <c r="L7" t="inlineStr">
        <is>
          <t>Badminton</t>
        </is>
      </c>
      <c r="M7" t="inlineStr">
        <is>
          <t>Women</t>
        </is>
      </c>
      <c r="N7" t="inlineStr">
        <is>
          <t>Doubles</t>
        </is>
      </c>
      <c r="O7" t="inlineStr"/>
      <c r="P7" t="inlineStr">
        <is>
          <t>Minh Thu Bui</t>
        </is>
      </c>
    </row>
    <row r="8">
      <c r="A8" t="inlineStr">
        <is>
          <t>GLA</t>
        </is>
      </c>
      <c r="B8" t="inlineStr">
        <is>
          <t>3626538</t>
        </is>
      </c>
      <c r="C8" t="inlineStr">
        <is>
          <t>93</t>
        </is>
      </c>
      <c r="D8" t="inlineStr">
        <is>
          <t>validated</t>
        </is>
      </c>
      <c r="E8" t="b">
        <v>0</v>
      </c>
      <c r="F8">
        <f>IMAGE("https://chmeetings.blob.core.windows.net/846969/attachments/q2lPenc10mkyifWDpteDw/d35966b3-7913-4313-ada9-9e3f70d94f15.jpg")</f>
        <v/>
      </c>
      <c r="G8" t="inlineStr">
        <is>
          <t>Ly Sophia</t>
        </is>
      </c>
      <c r="H8" t="inlineStr">
        <is>
          <t>Female</t>
        </is>
      </c>
      <c r="I8" t="n">
        <v>29</v>
      </c>
      <c r="J8" t="inlineStr">
        <is>
          <t>(626) 993-8265</t>
        </is>
      </c>
      <c r="K8" t="inlineStr">
        <is>
          <t>Nousesyly@gmail.com</t>
        </is>
      </c>
      <c r="L8" t="inlineStr">
        <is>
          <t>Badminton</t>
        </is>
      </c>
      <c r="M8" t="inlineStr">
        <is>
          <t>Mixed</t>
        </is>
      </c>
      <c r="N8" t="inlineStr">
        <is>
          <t>Doubles</t>
        </is>
      </c>
      <c r="O8" t="inlineStr"/>
      <c r="P8" t="inlineStr">
        <is>
          <t>Thien Lau</t>
        </is>
      </c>
    </row>
    <row r="9">
      <c r="A9" t="inlineStr">
        <is>
          <t>ORN</t>
        </is>
      </c>
      <c r="B9" t="inlineStr">
        <is>
          <t>3618799</t>
        </is>
      </c>
      <c r="C9" t="inlineStr">
        <is>
          <t>13</t>
        </is>
      </c>
      <c r="D9" t="inlineStr">
        <is>
          <t>validated</t>
        </is>
      </c>
      <c r="E9" t="b">
        <v>1</v>
      </c>
      <c r="F9">
        <f>IMAGE("https://chmeetings.blob.core.windows.net/846969/attachments/qbqvDQkHBEucuVEztvSrzw/56dc6343-e74d-4af7-adbe-37f226c0bbfc.jpg")</f>
        <v/>
      </c>
      <c r="G9" t="inlineStr">
        <is>
          <t>Nguyen Benjamin</t>
        </is>
      </c>
      <c r="H9" t="inlineStr">
        <is>
          <t>Male</t>
        </is>
      </c>
      <c r="I9" t="n">
        <v>24</v>
      </c>
      <c r="J9" t="inlineStr">
        <is>
          <t>(714) 833-6740</t>
        </is>
      </c>
      <c r="K9" t="inlineStr">
        <is>
          <t>Benjinguyen02@gmail.com</t>
        </is>
      </c>
      <c r="L9" t="inlineStr">
        <is>
          <t>Badminton</t>
        </is>
      </c>
      <c r="M9" t="inlineStr">
        <is>
          <t>Mixed</t>
        </is>
      </c>
      <c r="N9" t="inlineStr">
        <is>
          <t>Doubles</t>
        </is>
      </c>
      <c r="O9" t="inlineStr"/>
      <c r="P9" t="inlineStr"/>
    </row>
    <row r="10">
      <c r="A10" t="inlineStr">
        <is>
          <t>SDC</t>
        </is>
      </c>
      <c r="B10" t="inlineStr">
        <is>
          <t>4361930</t>
        </is>
      </c>
      <c r="C10" t="inlineStr">
        <is>
          <t>24</t>
        </is>
      </c>
      <c r="D10" t="inlineStr">
        <is>
          <t>validated</t>
        </is>
      </c>
      <c r="E10" t="b">
        <v>1</v>
      </c>
      <c r="F10">
        <f>IMAGE("https://chmeetings.blob.core.windows.net/846969/attachments/TkKY4kXMsECC0RXzudZ5tA/b84f2b40-fd84-416f-b1fe-87a8d863a84b.jpg")</f>
        <v/>
      </c>
      <c r="G10" t="inlineStr">
        <is>
          <t>Duong Quang</t>
        </is>
      </c>
      <c r="H10" t="inlineStr">
        <is>
          <t>Male</t>
        </is>
      </c>
      <c r="I10" t="n">
        <v>24</v>
      </c>
      <c r="J10" t="inlineStr">
        <is>
          <t>(619) 638-9596</t>
        </is>
      </c>
      <c r="K10" t="inlineStr">
        <is>
          <t>Qduong2605@gmail.com</t>
        </is>
      </c>
      <c r="L10" t="inlineStr">
        <is>
          <t>Badminton</t>
        </is>
      </c>
      <c r="M10" t="inlineStr">
        <is>
          <t>Men</t>
        </is>
      </c>
      <c r="N10" t="inlineStr">
        <is>
          <t>Doubles</t>
        </is>
      </c>
      <c r="O10" t="inlineStr"/>
      <c r="P10" t="inlineStr">
        <is>
          <t>Tri Nguyen</t>
        </is>
      </c>
    </row>
    <row r="11">
      <c r="A11" t="inlineStr">
        <is>
          <t>SDC</t>
        </is>
      </c>
      <c r="B11" t="inlineStr">
        <is>
          <t>3476582</t>
        </is>
      </c>
      <c r="C11" t="inlineStr">
        <is>
          <t>25</t>
        </is>
      </c>
      <c r="D11" t="inlineStr">
        <is>
          <t>validated</t>
        </is>
      </c>
      <c r="E11" t="b">
        <v>1</v>
      </c>
      <c r="F11">
        <f>IMAGE("https://chmeetings.blob.core.windows.net/846969/attachments/Pnw3aHD5hEqlDsZTqeNkA/461b41a2-6769-490c-a301-c265e90ad64e.jpg")</f>
        <v/>
      </c>
      <c r="G11" t="inlineStr">
        <is>
          <t>Duong Viet</t>
        </is>
      </c>
      <c r="H11" t="inlineStr">
        <is>
          <t>Male</t>
        </is>
      </c>
      <c r="I11" t="n">
        <v>25</v>
      </c>
      <c r="J11" t="inlineStr">
        <is>
          <t>(619) 227-8495</t>
        </is>
      </c>
      <c r="K11" t="inlineStr">
        <is>
          <t>vietduong152205@gmail.com</t>
        </is>
      </c>
      <c r="L11" t="inlineStr">
        <is>
          <t>Badminton</t>
        </is>
      </c>
      <c r="M11" t="inlineStr">
        <is>
          <t>Men</t>
        </is>
      </c>
      <c r="N11" t="inlineStr">
        <is>
          <t>Doubles</t>
        </is>
      </c>
      <c r="O11" t="inlineStr"/>
      <c r="P11" t="inlineStr">
        <is>
          <t>Jacob Huynh</t>
        </is>
      </c>
    </row>
    <row r="12">
      <c r="A12" t="inlineStr">
        <is>
          <t>SDC</t>
        </is>
      </c>
      <c r="B12" t="inlineStr">
        <is>
          <t>3636572</t>
        </is>
      </c>
      <c r="C12" t="inlineStr">
        <is>
          <t>82</t>
        </is>
      </c>
      <c r="D12" t="inlineStr">
        <is>
          <t>validated</t>
        </is>
      </c>
      <c r="E12" t="b">
        <v>1</v>
      </c>
      <c r="F12">
        <f>IMAGE("https://chmeetings.blob.core.windows.net/846969/attachments/Kfbvgrxge0GMOiKuoSztng/704fbe0f-6065-4a44-95c1-1f57f4eba03d.jpg")</f>
        <v/>
      </c>
      <c r="G12" t="inlineStr">
        <is>
          <t>Huynh Jacob</t>
        </is>
      </c>
      <c r="H12" t="inlineStr">
        <is>
          <t>Male</t>
        </is>
      </c>
      <c r="I12" t="n">
        <v>23</v>
      </c>
      <c r="J12" t="inlineStr">
        <is>
          <t>(858) 375-6646</t>
        </is>
      </c>
      <c r="K12" t="inlineStr">
        <is>
          <t>JACOBHUYNH09@GMAIL.COM</t>
        </is>
      </c>
      <c r="L12" t="inlineStr">
        <is>
          <t>Badminton</t>
        </is>
      </c>
      <c r="M12" t="inlineStr">
        <is>
          <t>Men</t>
        </is>
      </c>
      <c r="N12" t="inlineStr">
        <is>
          <t>Doubles</t>
        </is>
      </c>
      <c r="O12" t="inlineStr"/>
      <c r="P12" t="inlineStr">
        <is>
          <t>Viet Duong</t>
        </is>
      </c>
    </row>
    <row r="13">
      <c r="A13" t="inlineStr">
        <is>
          <t>SDC</t>
        </is>
      </c>
      <c r="B13" t="inlineStr">
        <is>
          <t>3634932</t>
        </is>
      </c>
      <c r="C13" t="inlineStr">
        <is>
          <t>20</t>
        </is>
      </c>
      <c r="D13" t="inlineStr">
        <is>
          <t>validated</t>
        </is>
      </c>
      <c r="E13" t="b">
        <v>1</v>
      </c>
      <c r="F13">
        <f>IMAGE("https://chmeetings.blob.core.windows.net/846969/attachments/WqLDZlxmt0iD9mbVC64Uw/f643734c-922a-40e4-8cd8-24b44d5a9b84.jpg")</f>
        <v/>
      </c>
      <c r="G13" t="inlineStr">
        <is>
          <t>Ngo Esther</t>
        </is>
      </c>
      <c r="H13" t="inlineStr">
        <is>
          <t>Female</t>
        </is>
      </c>
      <c r="I13" t="n">
        <v>23</v>
      </c>
      <c r="J13" t="inlineStr">
        <is>
          <t>(619) 301-7384</t>
        </is>
      </c>
      <c r="K13" t="inlineStr">
        <is>
          <t>esther.ngo1222@gmail.com</t>
        </is>
      </c>
      <c r="L13" t="inlineStr">
        <is>
          <t>Badminton</t>
        </is>
      </c>
      <c r="M13" t="inlineStr">
        <is>
          <t>Mixed</t>
        </is>
      </c>
      <c r="N13" t="inlineStr">
        <is>
          <t>Doubles</t>
        </is>
      </c>
      <c r="O13" t="inlineStr"/>
      <c r="P13" t="inlineStr">
        <is>
          <t>Joseph Ngo</t>
        </is>
      </c>
    </row>
    <row r="14">
      <c r="A14" t="inlineStr">
        <is>
          <t>SDC</t>
        </is>
      </c>
      <c r="B14" t="inlineStr">
        <is>
          <t>3631509</t>
        </is>
      </c>
      <c r="C14" t="inlineStr">
        <is>
          <t>81</t>
        </is>
      </c>
      <c r="D14" t="inlineStr">
        <is>
          <t>validated</t>
        </is>
      </c>
      <c r="E14" t="b">
        <v>1</v>
      </c>
      <c r="F14">
        <f>IMAGE("https://chmeetings.blob.core.windows.net/846969/attachments/qHFzw2su0EaXZVKX3nFTw/64676df0-467f-47ec-9834-a4285178e62b.jpg")</f>
        <v/>
      </c>
      <c r="G14" t="inlineStr">
        <is>
          <t>Ngo Christine</t>
        </is>
      </c>
      <c r="H14" t="inlineStr">
        <is>
          <t>Female</t>
        </is>
      </c>
      <c r="I14" t="n">
        <v>25</v>
      </c>
      <c r="J14" t="inlineStr">
        <is>
          <t>(858) 531-0418</t>
        </is>
      </c>
      <c r="K14" t="inlineStr">
        <is>
          <t>ctngo23@gmail.com</t>
        </is>
      </c>
      <c r="L14" t="inlineStr">
        <is>
          <t>Badminton</t>
        </is>
      </c>
      <c r="M14" t="inlineStr">
        <is>
          <t>Women</t>
        </is>
      </c>
      <c r="N14" t="inlineStr">
        <is>
          <t>Doubles</t>
        </is>
      </c>
      <c r="O14" t="inlineStr"/>
      <c r="P14" t="inlineStr">
        <is>
          <t>Katie Tu</t>
        </is>
      </c>
    </row>
    <row r="15">
      <c r="A15" t="inlineStr">
        <is>
          <t>SDC</t>
        </is>
      </c>
      <c r="B15" t="inlineStr">
        <is>
          <t>3554516</t>
        </is>
      </c>
      <c r="C15" t="inlineStr">
        <is>
          <t>83</t>
        </is>
      </c>
      <c r="D15" t="inlineStr">
        <is>
          <t>validated</t>
        </is>
      </c>
      <c r="E15" t="b">
        <v>1</v>
      </c>
      <c r="F15">
        <f>IMAGE("https://chmeetings.blob.core.windows.net/846969/attachments/bqJr0cNbxkGuCD7FEwTwSg/5d344889-f820-4fd5-b45c-f7d157a0386e.jpg")</f>
        <v/>
      </c>
      <c r="G15" t="inlineStr">
        <is>
          <t>Tu Katie</t>
        </is>
      </c>
      <c r="H15" t="inlineStr">
        <is>
          <t>Female</t>
        </is>
      </c>
      <c r="I15" t="n">
        <v>23</v>
      </c>
      <c r="J15" t="inlineStr">
        <is>
          <t>(619) 514-9303</t>
        </is>
      </c>
      <c r="K15" t="inlineStr">
        <is>
          <t>katietuu@gmail.com</t>
        </is>
      </c>
      <c r="L15" t="inlineStr">
        <is>
          <t>Badminton</t>
        </is>
      </c>
      <c r="M15" t="inlineStr">
        <is>
          <t>Women</t>
        </is>
      </c>
      <c r="N15" t="inlineStr">
        <is>
          <t>Doubles</t>
        </is>
      </c>
      <c r="O15" t="inlineStr"/>
      <c r="P15" t="inlineStr">
        <is>
          <t>Christine Ngo</t>
        </is>
      </c>
    </row>
    <row r="16">
      <c r="A16" t="inlineStr">
        <is>
          <t>TLC</t>
        </is>
      </c>
      <c r="B16" t="inlineStr">
        <is>
          <t>4361949</t>
        </is>
      </c>
      <c r="C16" t="inlineStr">
        <is>
          <t>30</t>
        </is>
      </c>
      <c r="D16" t="inlineStr">
        <is>
          <t>validated</t>
        </is>
      </c>
      <c r="E16" t="b">
        <v>1</v>
      </c>
      <c r="F16">
        <f>IMAGE("https://chmeetings.blob.core.windows.net/846969/attachments/Z3yem4f1HkKx9fc551NLNw/7bc871da-1eeb-4b72-9047-060bf53c9b05.jpg")</f>
        <v/>
      </c>
      <c r="G16" t="inlineStr">
        <is>
          <t>Gao Shan</t>
        </is>
      </c>
      <c r="H16" t="inlineStr">
        <is>
          <t>Male</t>
        </is>
      </c>
      <c r="I16" t="n">
        <v>23</v>
      </c>
      <c r="J16" t="inlineStr">
        <is>
          <t>(626) 861-8687</t>
        </is>
      </c>
      <c r="K16" t="inlineStr">
        <is>
          <t>w2801046931@gmail.com</t>
        </is>
      </c>
      <c r="L16" t="inlineStr">
        <is>
          <t>Badminton</t>
        </is>
      </c>
      <c r="M16" t="inlineStr">
        <is>
          <t>Men</t>
        </is>
      </c>
      <c r="N16" t="inlineStr">
        <is>
          <t>Doubles</t>
        </is>
      </c>
      <c r="O16" t="inlineStr"/>
      <c r="P16" t="inlineStr">
        <is>
          <t>James Nguyen</t>
        </is>
      </c>
    </row>
    <row r="17">
      <c r="A17" t="inlineStr">
        <is>
          <t>TLC</t>
        </is>
      </c>
      <c r="B17" t="inlineStr">
        <is>
          <t>3562839</t>
        </is>
      </c>
      <c r="C17" t="inlineStr">
        <is>
          <t>31</t>
        </is>
      </c>
      <c r="D17" t="inlineStr">
        <is>
          <t>pending_approval</t>
        </is>
      </c>
      <c r="E17" t="b">
        <v>1</v>
      </c>
      <c r="F17">
        <f>IMAGE("https://chmeetings.blob.core.windows.net/846969/attachments/YGg8n4kfIE6Jo6c8Uj0LMQ/267c68c0-1843-43e2-93a4-f5c795fb5c3f.jpg")</f>
        <v/>
      </c>
      <c r="G17" t="inlineStr">
        <is>
          <t>Le Shawn</t>
        </is>
      </c>
      <c r="H17" t="inlineStr">
        <is>
          <t>Male</t>
        </is>
      </c>
      <c r="I17" t="n">
        <v>28</v>
      </c>
      <c r="J17" t="inlineStr">
        <is>
          <t>(949) 416-8033</t>
        </is>
      </c>
      <c r="K17" t="inlineStr">
        <is>
          <t>shawn.le@thanhlechurch.com</t>
        </is>
      </c>
      <c r="L17" t="inlineStr">
        <is>
          <t>Badminton</t>
        </is>
      </c>
      <c r="M17" t="inlineStr">
        <is>
          <t>Men</t>
        </is>
      </c>
      <c r="N17" t="inlineStr">
        <is>
          <t>Doubles</t>
        </is>
      </c>
      <c r="O17" t="inlineStr"/>
      <c r="P17" t="inlineStr"/>
    </row>
    <row r="18">
      <c r="A18" t="inlineStr">
        <is>
          <t>TLC</t>
        </is>
      </c>
      <c r="B18" t="inlineStr">
        <is>
          <t>4361934</t>
        </is>
      </c>
      <c r="C18" t="inlineStr">
        <is>
          <t>28</t>
        </is>
      </c>
      <c r="D18" t="inlineStr">
        <is>
          <t>validated</t>
        </is>
      </c>
      <c r="E18" t="b">
        <v>1</v>
      </c>
      <c r="F18">
        <f>IMAGE("https://chmeetings.blob.core.windows.net/846969/attachments/1N8zi6qzvEuqeQtuOAnIA/db69b783-cf12-4974-9080-8a1301fb5ca9.jpg")</f>
        <v/>
      </c>
      <c r="G18" t="inlineStr">
        <is>
          <t>Nguyen James</t>
        </is>
      </c>
      <c r="H18" t="inlineStr">
        <is>
          <t>Male</t>
        </is>
      </c>
      <c r="I18" t="n">
        <v>22</v>
      </c>
      <c r="J18" t="inlineStr">
        <is>
          <t>(626) 227-4099</t>
        </is>
      </c>
      <c r="K18" t="inlineStr">
        <is>
          <t>nguyejames03@gmail.com</t>
        </is>
      </c>
      <c r="L18" t="inlineStr">
        <is>
          <t>Badminton</t>
        </is>
      </c>
      <c r="M18" t="inlineStr">
        <is>
          <t>Men</t>
        </is>
      </c>
      <c r="N18" t="inlineStr">
        <is>
          <t>Doubles</t>
        </is>
      </c>
      <c r="O18" t="inlineStr"/>
      <c r="P18" t="inlineStr">
        <is>
          <t>Shan Gao (Gary)</t>
        </is>
      </c>
    </row>
    <row r="19">
      <c r="A19" t="inlineStr">
        <is>
          <t>TLC</t>
        </is>
      </c>
      <c r="B19" t="inlineStr">
        <is>
          <t>4361933</t>
        </is>
      </c>
      <c r="C19" t="inlineStr">
        <is>
          <t>26</t>
        </is>
      </c>
      <c r="D19" t="inlineStr">
        <is>
          <t>validated</t>
        </is>
      </c>
      <c r="E19" t="b">
        <v>0</v>
      </c>
      <c r="F19">
        <f>IMAGE("https://chmeetings.blob.core.windows.net/846969/attachments/iz7lVTuVok6vCCLaDh89w/5c294fc1-1dd8-4abe-8c6d-053ac638f408.jpg")</f>
        <v/>
      </c>
      <c r="G19" t="inlineStr">
        <is>
          <t>Yun Hyewon</t>
        </is>
      </c>
      <c r="H19" t="inlineStr">
        <is>
          <t>Male</t>
        </is>
      </c>
      <c r="I19" t="n">
        <v>30</v>
      </c>
      <c r="J19" t="inlineStr">
        <is>
          <t>(714) 501-3313</t>
        </is>
      </c>
      <c r="K19" t="inlineStr">
        <is>
          <t>hyewonyun1996@gmail.com</t>
        </is>
      </c>
      <c r="L19" t="inlineStr">
        <is>
          <t>Badminton</t>
        </is>
      </c>
      <c r="M19" t="inlineStr">
        <is>
          <t>Men</t>
        </is>
      </c>
      <c r="N19" t="inlineStr">
        <is>
          <t>Doubles</t>
        </is>
      </c>
      <c r="O19" t="inlineStr"/>
      <c r="P19" t="inlineStr">
        <is>
          <t>Shawn Le</t>
        </is>
      </c>
    </row>
    <row r="20">
      <c r="A20" t="inlineStr">
        <is>
          <t>TLC</t>
        </is>
      </c>
      <c r="B20" t="inlineStr">
        <is>
          <t>3562839</t>
        </is>
      </c>
      <c r="C20" t="inlineStr">
        <is>
          <t>31</t>
        </is>
      </c>
      <c r="D20" t="inlineStr">
        <is>
          <t>pending_approval</t>
        </is>
      </c>
      <c r="E20" t="b">
        <v>1</v>
      </c>
      <c r="F20">
        <f>IMAGE("https://chmeetings.blob.core.windows.net/846969/attachments/YGg8n4kfIE6Jo6c8Uj0LMQ/267c68c0-1843-43e2-93a4-f5c795fb5c3f.jpg")</f>
        <v/>
      </c>
      <c r="G20" t="inlineStr">
        <is>
          <t>Le Shawn</t>
        </is>
      </c>
      <c r="H20" t="inlineStr">
        <is>
          <t>Male</t>
        </is>
      </c>
      <c r="I20" t="n">
        <v>28</v>
      </c>
      <c r="J20" t="inlineStr">
        <is>
          <t>(949) 416-8033</t>
        </is>
      </c>
      <c r="K20" t="inlineStr">
        <is>
          <t>shawn.le@thanhlechurch.com</t>
        </is>
      </c>
      <c r="L20" t="inlineStr">
        <is>
          <t>Badminton</t>
        </is>
      </c>
      <c r="M20" t="inlineStr">
        <is>
          <t>Mixed</t>
        </is>
      </c>
      <c r="N20" t="inlineStr">
        <is>
          <t>Doubles</t>
        </is>
      </c>
      <c r="O20" t="inlineStr"/>
      <c r="P20" t="inlineStr"/>
    </row>
  </sheetData>
  <autoFilter ref="A1:P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Basketball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3623916</t>
        </is>
      </c>
      <c r="C3" t="inlineStr">
        <is>
          <t>66</t>
        </is>
      </c>
      <c r="D3" t="inlineStr">
        <is>
          <t>validated</t>
        </is>
      </c>
      <c r="E3" t="b">
        <v>1</v>
      </c>
      <c r="F3">
        <f>IMAGE("https://chmeetings.blob.core.windows.net/846969/attachments/fYvFpOHviEe0wHVMPzacZw/6a6ff4b5-bd9f-4624-ada9-8744e2a5f857.jpg")</f>
        <v/>
      </c>
      <c r="G3" t="inlineStr">
        <is>
          <t>Miyagishima Matthew</t>
        </is>
      </c>
      <c r="H3" t="inlineStr">
        <is>
          <t>Male</t>
        </is>
      </c>
      <c r="I3" t="n">
        <v>28</v>
      </c>
      <c r="J3" t="inlineStr">
        <is>
          <t>(714) 749-8210</t>
        </is>
      </c>
      <c r="K3" t="inlineStr">
        <is>
          <t>mmiyagishima16@gmail.com</t>
        </is>
      </c>
      <c r="L3" t="inlineStr">
        <is>
          <t>Basketball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3624648</t>
        </is>
      </c>
      <c r="C4" t="inlineStr">
        <is>
          <t>127</t>
        </is>
      </c>
      <c r="D4" t="inlineStr">
        <is>
          <t>validated</t>
        </is>
      </c>
      <c r="E4" t="b">
        <v>1</v>
      </c>
      <c r="F4">
        <f>IMAGE("https://chmeetings.blob.core.windows.net/846969/attachments/qj11d0mfBkIH30v4IwKQ/8cb9a967-e055-467f-a161-492dfc732b2c.jpg")</f>
        <v/>
      </c>
      <c r="G4" t="inlineStr">
        <is>
          <t>Nguyen Justin</t>
        </is>
      </c>
      <c r="H4" t="inlineStr">
        <is>
          <t>Male</t>
        </is>
      </c>
      <c r="I4" t="n">
        <v>23</v>
      </c>
      <c r="J4" t="inlineStr">
        <is>
          <t>(951) 496-9385</t>
        </is>
      </c>
      <c r="K4" t="inlineStr">
        <is>
          <t>justinqnguyen3@gmail.com</t>
        </is>
      </c>
      <c r="L4" t="inlineStr">
        <is>
          <t>Basketball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FVC</t>
        </is>
      </c>
      <c r="B5" t="inlineStr">
        <is>
          <t>3623917</t>
        </is>
      </c>
      <c r="C5" t="inlineStr">
        <is>
          <t>65</t>
        </is>
      </c>
      <c r="D5" t="inlineStr">
        <is>
          <t>validated</t>
        </is>
      </c>
      <c r="E5" t="b">
        <v>1</v>
      </c>
      <c r="F5">
        <f>IMAGE("https://chmeetings.blob.core.windows.net/846969/attachments/RsVvSMjIZEOg4jtrF5I5gg/708cb162-46ad-468f-b540-1209616245c2.jpg")</f>
        <v/>
      </c>
      <c r="G5" t="inlineStr">
        <is>
          <t>Nguyen Kevin</t>
        </is>
      </c>
      <c r="H5" t="inlineStr">
        <is>
          <t>Male</t>
        </is>
      </c>
      <c r="I5" t="n">
        <v>25</v>
      </c>
      <c r="J5" t="inlineStr">
        <is>
          <t>(657) 259-7371</t>
        </is>
      </c>
      <c r="K5" t="inlineStr">
        <is>
          <t>kevinvnguyen15@gmail.com</t>
        </is>
      </c>
      <c r="L5" t="inlineStr">
        <is>
          <t>Basketball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FVC</t>
        </is>
      </c>
      <c r="B6" t="inlineStr">
        <is>
          <t>3623920</t>
        </is>
      </c>
      <c r="C6" t="inlineStr">
        <is>
          <t>61</t>
        </is>
      </c>
      <c r="D6" t="inlineStr">
        <is>
          <t>validated</t>
        </is>
      </c>
      <c r="E6" t="b">
        <v>0</v>
      </c>
      <c r="F6">
        <f>IMAGE("https://chmeetings.blob.core.windows.net/846969/attachments/M6A5b0NLrkOaM0d7HnpXzg/da62a76a-746b-41fc-a40a-dd4fcbe3e398.jpg")</f>
        <v/>
      </c>
      <c r="G6" t="inlineStr">
        <is>
          <t>Ninh Austin</t>
        </is>
      </c>
      <c r="H6" t="inlineStr">
        <is>
          <t>Male</t>
        </is>
      </c>
      <c r="I6" t="n">
        <v>23</v>
      </c>
      <c r="J6" t="inlineStr">
        <is>
          <t>(714) 804-2815</t>
        </is>
      </c>
      <c r="K6" t="inlineStr">
        <is>
          <t>austin92841@gmail.com</t>
        </is>
      </c>
      <c r="L6" t="inlineStr">
        <is>
          <t>Basketball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3618803</t>
        </is>
      </c>
      <c r="C7" t="inlineStr">
        <is>
          <t>47</t>
        </is>
      </c>
      <c r="D7" t="inlineStr">
        <is>
          <t>validated</t>
        </is>
      </c>
      <c r="E7" t="b">
        <v>1</v>
      </c>
      <c r="F7">
        <f>IMAGE("https://chmeetings.blob.core.windows.net/846969/attachments/8RaR3P2EW0W4gXH4RYhbTA/5ceea1d8-d408-4951-80f1-990d0318e7f1.jpg")</f>
        <v/>
      </c>
      <c r="G7" t="inlineStr">
        <is>
          <t>Chau Brendan</t>
        </is>
      </c>
      <c r="H7" t="inlineStr">
        <is>
          <t>Male</t>
        </is>
      </c>
      <c r="I7" t="n">
        <v>28</v>
      </c>
      <c r="J7" t="inlineStr">
        <is>
          <t>(408) 781-6867</t>
        </is>
      </c>
      <c r="K7" t="inlineStr">
        <is>
          <t>bvanchau35@gmail.com</t>
        </is>
      </c>
      <c r="L7" t="inlineStr">
        <is>
          <t>Basketball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GAC</t>
        </is>
      </c>
      <c r="B8" t="inlineStr">
        <is>
          <t>4361952</t>
        </is>
      </c>
      <c r="C8" t="inlineStr">
        <is>
          <t>57</t>
        </is>
      </c>
      <c r="D8" t="inlineStr">
        <is>
          <t>pending</t>
        </is>
      </c>
      <c r="E8" t="b">
        <v>1</v>
      </c>
      <c r="F8">
        <f>IMAGE("https://chmeetings.blob.core.windows.net/846969/attachments/Hjxi9RYULUCBzV5lFGI92Q/b0ae99dc-29e8-4902-8dad-c2ffe54bf1b2.jpg")</f>
        <v/>
      </c>
      <c r="G8" t="inlineStr">
        <is>
          <t>Cisneros Michael</t>
        </is>
      </c>
      <c r="H8" t="inlineStr">
        <is>
          <t>Male</t>
        </is>
      </c>
      <c r="I8" t="n">
        <v>16</v>
      </c>
      <c r="J8" t="inlineStr">
        <is>
          <t>(925) 826-9988</t>
        </is>
      </c>
      <c r="K8" t="inlineStr">
        <is>
          <t>michael.cisneros03@icloud.com</t>
        </is>
      </c>
      <c r="L8" t="inlineStr">
        <is>
          <t>Basketball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3616069</t>
        </is>
      </c>
      <c r="C9" t="inlineStr">
        <is>
          <t>48</t>
        </is>
      </c>
      <c r="D9" t="inlineStr">
        <is>
          <t>validated</t>
        </is>
      </c>
      <c r="E9" t="b">
        <v>1</v>
      </c>
      <c r="F9">
        <f>IMAGE("https://chmeetings.blob.core.windows.net/846969/attachments/O8QD4sgd0CUWG0wYocsQ/50c2d27b-96d9-4dc3-8835-56e05b828e31.jpg")</f>
        <v/>
      </c>
      <c r="G9" t="inlineStr">
        <is>
          <t>Le Brian</t>
        </is>
      </c>
      <c r="H9" t="inlineStr">
        <is>
          <t>Male</t>
        </is>
      </c>
      <c r="I9" t="n">
        <v>26</v>
      </c>
      <c r="J9" t="inlineStr">
        <is>
          <t>(669) 255-1182</t>
        </is>
      </c>
      <c r="K9" t="inlineStr">
        <is>
          <t>lebrian0708@gmail.com</t>
        </is>
      </c>
      <c r="L9" t="inlineStr">
        <is>
          <t>Basketball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GAC</t>
        </is>
      </c>
      <c r="B10" t="inlineStr">
        <is>
          <t>3623145</t>
        </is>
      </c>
      <c r="C10" t="inlineStr">
        <is>
          <t>49</t>
        </is>
      </c>
      <c r="D10" t="inlineStr">
        <is>
          <t>pending</t>
        </is>
      </c>
      <c r="E10" t="b">
        <v>1</v>
      </c>
      <c r="F10">
        <f>IMAGE("https://chmeetings.blob.core.windows.net/846969/attachments/0thvFv8nzUSwHPFCj8rLmw/70d3cc8f-121f-41dd-afb3-47222f355027.jpg")</f>
        <v/>
      </c>
      <c r="G10" t="inlineStr">
        <is>
          <t>Nguyen Elijah</t>
        </is>
      </c>
      <c r="H10" t="inlineStr">
        <is>
          <t>Male</t>
        </is>
      </c>
      <c r="I10" t="n">
        <v>14</v>
      </c>
      <c r="J10" t="inlineStr">
        <is>
          <t>(408) 772-9825</t>
        </is>
      </c>
      <c r="K10" t="inlineStr">
        <is>
          <t>write2phuong2020@gmail.com</t>
        </is>
      </c>
      <c r="L10" t="inlineStr">
        <is>
          <t>Basketball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GAC</t>
        </is>
      </c>
      <c r="B11" t="inlineStr">
        <is>
          <t>3618805</t>
        </is>
      </c>
      <c r="C11" t="inlineStr">
        <is>
          <t>58</t>
        </is>
      </c>
      <c r="D11" t="inlineStr">
        <is>
          <t>validated</t>
        </is>
      </c>
      <c r="E11" t="b">
        <v>1</v>
      </c>
      <c r="F11">
        <f>IMAGE("https://chmeetings.blob.core.windows.net/846969/attachments/LTROBmGRkCWpy8F2k5MTw/da39bbfc-1e59-4f38-adaf-49a6ca09829b.jpg")</f>
        <v/>
      </c>
      <c r="G11" t="inlineStr">
        <is>
          <t>Nguyen Michael</t>
        </is>
      </c>
      <c r="H11" t="inlineStr">
        <is>
          <t>Male</t>
        </is>
      </c>
      <c r="I11" t="n">
        <v>23</v>
      </c>
      <c r="J11" t="inlineStr">
        <is>
          <t>(408) 609-6205</t>
        </is>
      </c>
      <c r="K11" t="inlineStr">
        <is>
          <t>michaelthonguyen@gmail.com</t>
        </is>
      </c>
      <c r="L11" t="inlineStr">
        <is>
          <t>Basketball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GAC</t>
        </is>
      </c>
      <c r="B12" t="inlineStr">
        <is>
          <t>3636819</t>
        </is>
      </c>
      <c r="C12" t="inlineStr">
        <is>
          <t>53</t>
        </is>
      </c>
      <c r="D12" t="inlineStr">
        <is>
          <t>validated</t>
        </is>
      </c>
      <c r="E12" t="b">
        <v>1</v>
      </c>
      <c r="F12">
        <f>IMAGE("https://chmeetings.blob.core.windows.net/846969/attachments/2EMW7UJtRk6APQ4qdfqDcA/cae1b6ba-c323-4927-8239-f131801812c4.jpg")</f>
        <v/>
      </c>
      <c r="G12" t="inlineStr">
        <is>
          <t>OConnor Jeremy</t>
        </is>
      </c>
      <c r="H12" t="inlineStr">
        <is>
          <t>Male</t>
        </is>
      </c>
      <c r="I12" t="n">
        <v>28</v>
      </c>
      <c r="J12" t="inlineStr">
        <is>
          <t>(408) 728-2130</t>
        </is>
      </c>
      <c r="K12" t="inlineStr">
        <is>
          <t>jeremyoc241@gmail.com</t>
        </is>
      </c>
      <c r="L12" t="inlineStr">
        <is>
          <t>Basketball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GAC</t>
        </is>
      </c>
      <c r="B13" t="inlineStr">
        <is>
          <t>3615948</t>
        </is>
      </c>
      <c r="C13" t="inlineStr">
        <is>
          <t>46</t>
        </is>
      </c>
      <c r="D13" t="inlineStr">
        <is>
          <t>validated</t>
        </is>
      </c>
      <c r="E13" t="b">
        <v>1</v>
      </c>
      <c r="F13">
        <f>IMAGE("https://chmeetings.blob.core.windows.net/846969/attachments/jl2i4eVeYECLBJcTyk7tA/55b9f204-7df3-4ccf-ba35-08d5400d946c.jpg")</f>
        <v/>
      </c>
      <c r="G13" t="inlineStr">
        <is>
          <t>Ta Anthony</t>
        </is>
      </c>
      <c r="H13" t="inlineStr">
        <is>
          <t>Male</t>
        </is>
      </c>
      <c r="I13" t="n">
        <v>25</v>
      </c>
      <c r="J13" t="inlineStr">
        <is>
          <t>502</t>
        </is>
      </c>
      <c r="K13" t="inlineStr">
        <is>
          <t>anthonyta502@gmail.com</t>
        </is>
      </c>
      <c r="L13" t="inlineStr">
        <is>
          <t>Basketball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GLA</t>
        </is>
      </c>
      <c r="B14" t="inlineStr">
        <is>
          <t>3570848</t>
        </is>
      </c>
      <c r="C14" t="inlineStr">
        <is>
          <t>90</t>
        </is>
      </c>
      <c r="D14" t="inlineStr">
        <is>
          <t>pending_approval</t>
        </is>
      </c>
      <c r="E14" t="b">
        <v>1</v>
      </c>
      <c r="F14">
        <f>IMAGE("https://chmeetings.blob.core.windows.net/846969/attachments/9nPE07rppUmkSggzO9ESg/47d06526-4fa5-4234-9c13-94ab1e6ca296.jpg")</f>
        <v/>
      </c>
      <c r="G14" t="inlineStr">
        <is>
          <t>Miciano Edwin Joshua</t>
        </is>
      </c>
      <c r="H14" t="inlineStr">
        <is>
          <t>Male</t>
        </is>
      </c>
      <c r="I14" t="n">
        <v>25</v>
      </c>
      <c r="J14" t="inlineStr">
        <is>
          <t>(818) 572-5802</t>
        </is>
      </c>
      <c r="K14" t="inlineStr">
        <is>
          <t>ejomiciano@gmail.com</t>
        </is>
      </c>
      <c r="L14" t="inlineStr">
        <is>
          <t>Basketball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GLA</t>
        </is>
      </c>
      <c r="B15" t="inlineStr">
        <is>
          <t>3629598</t>
        </is>
      </c>
      <c r="C15" t="inlineStr">
        <is>
          <t>36</t>
        </is>
      </c>
      <c r="D15" t="inlineStr">
        <is>
          <t>pending_approval</t>
        </is>
      </c>
      <c r="E15" t="b">
        <v>1</v>
      </c>
      <c r="F15">
        <f>IMAGE("https://chmeetings.blob.core.windows.net/846969/attachments/BXJuEt43kmCzzwySYy0w/35a1da42-670c-46b3-a780-f0a182a01ab2.jpg")</f>
        <v/>
      </c>
      <c r="G15" t="inlineStr">
        <is>
          <t>Ngo Jason</t>
        </is>
      </c>
      <c r="H15" t="inlineStr">
        <is>
          <t>Male</t>
        </is>
      </c>
      <c r="I15" t="n">
        <v>18</v>
      </c>
      <c r="J15" t="inlineStr">
        <is>
          <t>(626) 382-9183</t>
        </is>
      </c>
      <c r="K15" t="inlineStr">
        <is>
          <t>ngojason99@gmail.com</t>
        </is>
      </c>
      <c r="L15" t="inlineStr">
        <is>
          <t>Basketball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MWC</t>
        </is>
      </c>
      <c r="B16" t="inlineStr">
        <is>
          <t>4363690</t>
        </is>
      </c>
      <c r="C16" t="inlineStr">
        <is>
          <t>117</t>
        </is>
      </c>
      <c r="D16" t="inlineStr">
        <is>
          <t>validated</t>
        </is>
      </c>
      <c r="E16" t="b">
        <v>1</v>
      </c>
      <c r="F16">
        <f>IMAGE("https://chmeetings.blob.core.windows.net/846969/attachments/TK02JE6UvkS6L5y3RVMZpw/1c35dc11-101f-473e-9f3b-e6cf53c7a11e.jpg")</f>
        <v/>
      </c>
      <c r="G16" t="inlineStr">
        <is>
          <t>Bui Bao</t>
        </is>
      </c>
      <c r="H16" t="inlineStr">
        <is>
          <t>Male</t>
        </is>
      </c>
      <c r="I16" t="n">
        <v>18</v>
      </c>
      <c r="J16" t="inlineStr">
        <is>
          <t>(657) 410-9810</t>
        </is>
      </c>
      <c r="K16" t="inlineStr">
        <is>
          <t>baothegamer@gmail.com</t>
        </is>
      </c>
      <c r="L16" t="inlineStr">
        <is>
          <t>Basketball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MWC</t>
        </is>
      </c>
      <c r="B17" t="inlineStr">
        <is>
          <t>3635881</t>
        </is>
      </c>
      <c r="C17" t="inlineStr">
        <is>
          <t>122</t>
        </is>
      </c>
      <c r="D17" t="inlineStr">
        <is>
          <t>validated</t>
        </is>
      </c>
      <c r="E17" t="b">
        <v>1</v>
      </c>
      <c r="F17">
        <f>IMAGE("https://chmeetings.blob.core.windows.net/846969/attachments/57qlraZWF0iXfi6BDk0Aw/944388fc-08b9-4ebf-9b0d-b4c91ec7c4a2.jpg")</f>
        <v/>
      </c>
      <c r="G17" t="inlineStr">
        <is>
          <t>Nguyen Minh</t>
        </is>
      </c>
      <c r="H17" t="inlineStr">
        <is>
          <t>Male</t>
        </is>
      </c>
      <c r="I17" t="n">
        <v>19</v>
      </c>
      <c r="J17" t="inlineStr">
        <is>
          <t>(657) 758-1102</t>
        </is>
      </c>
      <c r="K17" t="inlineStr">
        <is>
          <t>minhngyn07@gmail.com</t>
        </is>
      </c>
      <c r="L17" t="inlineStr">
        <is>
          <t>Basketball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OCB</t>
        </is>
      </c>
      <c r="B18" t="inlineStr">
        <is>
          <t>3635883</t>
        </is>
      </c>
      <c r="C18" t="inlineStr">
        <is>
          <t>129</t>
        </is>
      </c>
      <c r="D18" t="inlineStr">
        <is>
          <t>validated</t>
        </is>
      </c>
      <c r="E18" t="b">
        <v>1</v>
      </c>
      <c r="F18">
        <f>IMAGE("https://chmeetings.blob.core.windows.net/846969/attachments/YsOBYBV0q0OlqZ15fv698g/6b2979fd-e678-4960-90b4-480f52cec039.jpg")</f>
        <v/>
      </c>
      <c r="G18" t="inlineStr">
        <is>
          <t>Nguyen Henry</t>
        </is>
      </c>
      <c r="H18" t="inlineStr">
        <is>
          <t>Male</t>
        </is>
      </c>
      <c r="I18" t="n">
        <v>25</v>
      </c>
      <c r="J18" t="inlineStr">
        <is>
          <t>(714) 975-0037</t>
        </is>
      </c>
      <c r="K18" t="inlineStr">
        <is>
          <t>Henrynguyen600@gmail.com</t>
        </is>
      </c>
      <c r="L18" t="inlineStr">
        <is>
          <t>Basketball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OCB</t>
        </is>
      </c>
      <c r="B19" t="inlineStr">
        <is>
          <t>4363703</t>
        </is>
      </c>
      <c r="C19" t="inlineStr">
        <is>
          <t>131</t>
        </is>
      </c>
      <c r="D19" t="inlineStr">
        <is>
          <t>validated</t>
        </is>
      </c>
      <c r="E19" t="b">
        <v>1</v>
      </c>
      <c r="F19">
        <f>IMAGE("https://chmeetings.blob.core.windows.net/846969/attachments/EigWUMvqekGE2PheSEoGA/88f80066-edee-461c-9027-925435a96465.jpg")</f>
        <v/>
      </c>
      <c r="G19" t="inlineStr">
        <is>
          <t>Nguyen Tim</t>
        </is>
      </c>
      <c r="H19" t="inlineStr">
        <is>
          <t>Male</t>
        </is>
      </c>
      <c r="I19" t="n">
        <v>34</v>
      </c>
      <c r="J19" t="inlineStr">
        <is>
          <t>(714) 837-9071</t>
        </is>
      </c>
      <c r="K19" t="inlineStr">
        <is>
          <t>timnguy3n92@gmail.com</t>
        </is>
      </c>
      <c r="L19" t="inlineStr">
        <is>
          <t>Basketball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OCB</t>
        </is>
      </c>
      <c r="B20" t="inlineStr">
        <is>
          <t>3636635</t>
        </is>
      </c>
      <c r="C20" t="inlineStr">
        <is>
          <t>128</t>
        </is>
      </c>
      <c r="D20" t="inlineStr">
        <is>
          <t>validated</t>
        </is>
      </c>
      <c r="E20" t="b">
        <v>1</v>
      </c>
      <c r="F20">
        <f>IMAGE("https://chmeetings.blob.core.windows.net/846969/attachments/PHv7q7eqB0acQ6YgdARw9w/0ce255e9-5e3c-41e3-ad0f-edad75922343.jpg")</f>
        <v/>
      </c>
      <c r="G20" t="inlineStr">
        <is>
          <t>Rivera Aaron</t>
        </is>
      </c>
      <c r="H20" t="inlineStr">
        <is>
          <t>Male</t>
        </is>
      </c>
      <c r="I20" t="n">
        <v>18</v>
      </c>
      <c r="J20" t="inlineStr">
        <is>
          <t>(714) 724-9928</t>
        </is>
      </c>
      <c r="K20" t="inlineStr">
        <is>
          <t>rivera.aaroncal@gmail.com</t>
        </is>
      </c>
      <c r="L20" t="inlineStr">
        <is>
          <t>Basketball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OCB</t>
        </is>
      </c>
      <c r="B21" t="inlineStr">
        <is>
          <t>3635919</t>
        </is>
      </c>
      <c r="C21" t="inlineStr">
        <is>
          <t>130</t>
        </is>
      </c>
      <c r="D21" t="inlineStr">
        <is>
          <t>validated</t>
        </is>
      </c>
      <c r="E21" t="b">
        <v>1</v>
      </c>
      <c r="F21">
        <f>IMAGE("https://chmeetings.blob.core.windows.net/846969/attachments/sIqShIAxUS1oysyKko75A/75ceb615-5536-4313-99df-341fc9681c38.jpg")</f>
        <v/>
      </c>
      <c r="G21" t="inlineStr">
        <is>
          <t>Rivera Jack</t>
        </is>
      </c>
      <c r="H21" t="inlineStr">
        <is>
          <t>Male</t>
        </is>
      </c>
      <c r="I21" t="n">
        <v>20</v>
      </c>
      <c r="J21" t="inlineStr">
        <is>
          <t>(714) 234-7973</t>
        </is>
      </c>
      <c r="K21" t="inlineStr">
        <is>
          <t>jack.rivera0427@gmail.com</t>
        </is>
      </c>
      <c r="L21" t="inlineStr">
        <is>
          <t>Basketball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  <row r="22">
      <c r="A22" t="inlineStr">
        <is>
          <t>ORN</t>
        </is>
      </c>
      <c r="B22" t="inlineStr">
        <is>
          <t>3623915</t>
        </is>
      </c>
      <c r="C22" t="inlineStr">
        <is>
          <t>14</t>
        </is>
      </c>
      <c r="D22" t="inlineStr">
        <is>
          <t>validated</t>
        </is>
      </c>
      <c r="E22" t="b">
        <v>1</v>
      </c>
      <c r="F22">
        <f>IMAGE("https://chmeetings.blob.core.windows.net/846969/attachments/RDfjAEN4WE6KJSSC92ZKCg/f27465ca-e92d-4ab4-9ea2-547cf465ba89.jpg")</f>
        <v/>
      </c>
      <c r="G22" t="inlineStr">
        <is>
          <t>Djapri Jason</t>
        </is>
      </c>
      <c r="H22" t="inlineStr">
        <is>
          <t>Male</t>
        </is>
      </c>
      <c r="I22" t="n">
        <v>32</v>
      </c>
      <c r="J22" t="inlineStr">
        <is>
          <t>(310) 422-6128</t>
        </is>
      </c>
      <c r="K22" t="inlineStr">
        <is>
          <t>djaprijason@yahoo.com</t>
        </is>
      </c>
      <c r="L22" t="inlineStr">
        <is>
          <t>Basketball</t>
        </is>
      </c>
      <c r="M22" t="inlineStr">
        <is>
          <t>Mixed</t>
        </is>
      </c>
      <c r="N22" t="inlineStr">
        <is>
          <t>Team</t>
        </is>
      </c>
      <c r="O22" t="inlineStr"/>
      <c r="P22" t="inlineStr"/>
    </row>
    <row r="23">
      <c r="A23" t="inlineStr">
        <is>
          <t>ORN</t>
        </is>
      </c>
      <c r="B23" t="inlineStr">
        <is>
          <t>3623157</t>
        </is>
      </c>
      <c r="C23" t="inlineStr">
        <is>
          <t>79</t>
        </is>
      </c>
      <c r="D23" t="inlineStr">
        <is>
          <t>validated</t>
        </is>
      </c>
      <c r="E23" t="b">
        <v>1</v>
      </c>
      <c r="F23">
        <f>IMAGE("https://chmeetings.blob.core.windows.net/846969/attachments/HzlweDuVSE6PkzH7lPPQ/b05978ca-bb0d-4025-8e8b-e4bcb1a862e7.jpg")</f>
        <v/>
      </c>
      <c r="G23" t="inlineStr">
        <is>
          <t>Ho Johnny</t>
        </is>
      </c>
      <c r="H23" t="inlineStr">
        <is>
          <t>Male</t>
        </is>
      </c>
      <c r="I23" t="n">
        <v>18</v>
      </c>
      <c r="J23" t="inlineStr">
        <is>
          <t>(951) 573-3752</t>
        </is>
      </c>
      <c r="K23" t="inlineStr">
        <is>
          <t>hodoanhongquan2024@gmail.com</t>
        </is>
      </c>
      <c r="L23" t="inlineStr">
        <is>
          <t>Basketball</t>
        </is>
      </c>
      <c r="M23" t="inlineStr">
        <is>
          <t>Mixed</t>
        </is>
      </c>
      <c r="N23" t="inlineStr">
        <is>
          <t>Team</t>
        </is>
      </c>
      <c r="O23" t="inlineStr"/>
      <c r="P23" t="inlineStr"/>
    </row>
    <row r="24">
      <c r="A24" t="inlineStr">
        <is>
          <t>ORN</t>
        </is>
      </c>
      <c r="B24" t="inlineStr">
        <is>
          <t>3618799</t>
        </is>
      </c>
      <c r="C24" t="inlineStr">
        <is>
          <t>13</t>
        </is>
      </c>
      <c r="D24" t="inlineStr">
        <is>
          <t>validated</t>
        </is>
      </c>
      <c r="E24" t="b">
        <v>1</v>
      </c>
      <c r="F24">
        <f>IMAGE("https://chmeetings.blob.core.windows.net/846969/attachments/qbqvDQkHBEucuVEztvSrzw/56dc6343-e74d-4af7-adbe-37f226c0bbfc.jpg")</f>
        <v/>
      </c>
      <c r="G24" t="inlineStr">
        <is>
          <t>Nguyen Benjamin</t>
        </is>
      </c>
      <c r="H24" t="inlineStr">
        <is>
          <t>Male</t>
        </is>
      </c>
      <c r="I24" t="n">
        <v>24</v>
      </c>
      <c r="J24" t="inlineStr">
        <is>
          <t>(714) 833-6740</t>
        </is>
      </c>
      <c r="K24" t="inlineStr">
        <is>
          <t>Benjinguyen02@gmail.com</t>
        </is>
      </c>
      <c r="L24" t="inlineStr">
        <is>
          <t>Basketball</t>
        </is>
      </c>
      <c r="M24" t="inlineStr">
        <is>
          <t>Mixed</t>
        </is>
      </c>
      <c r="N24" t="inlineStr">
        <is>
          <t>Team</t>
        </is>
      </c>
      <c r="O24" t="inlineStr"/>
      <c r="P24" t="inlineStr"/>
    </row>
    <row r="25">
      <c r="A25" t="inlineStr">
        <is>
          <t>ORN</t>
        </is>
      </c>
      <c r="B25" t="inlineStr">
        <is>
          <t>3505206</t>
        </is>
      </c>
      <c r="C25" t="inlineStr">
        <is>
          <t>16</t>
        </is>
      </c>
      <c r="D25" t="inlineStr">
        <is>
          <t>validated</t>
        </is>
      </c>
      <c r="E25" t="b">
        <v>1</v>
      </c>
      <c r="F25">
        <f>IMAGE("https://chmeetings.blob.core.windows.net/846969/attachments/3veswZCVtEs6fg25uiOYg/14d4ef4d-d959-4d64-ae0d-e552b50141f9.jpg")</f>
        <v/>
      </c>
      <c r="G25" t="inlineStr">
        <is>
          <t>Nguyen Matthew</t>
        </is>
      </c>
      <c r="H25" t="inlineStr">
        <is>
          <t>Male</t>
        </is>
      </c>
      <c r="I25" t="n">
        <v>31</v>
      </c>
      <c r="J25" t="inlineStr">
        <is>
          <t>(714) 391-5045</t>
        </is>
      </c>
      <c r="K25" t="inlineStr">
        <is>
          <t>matthewlan1995@yahoo.com</t>
        </is>
      </c>
      <c r="L25" t="inlineStr">
        <is>
          <t>Basketball</t>
        </is>
      </c>
      <c r="M25" t="inlineStr">
        <is>
          <t>Mixed</t>
        </is>
      </c>
      <c r="N25" t="inlineStr">
        <is>
          <t>Team</t>
        </is>
      </c>
      <c r="O25" t="inlineStr"/>
      <c r="P25" t="inlineStr"/>
    </row>
    <row r="26">
      <c r="A26" t="inlineStr">
        <is>
          <t>ORN</t>
        </is>
      </c>
      <c r="B26" t="inlineStr">
        <is>
          <t>3623151</t>
        </is>
      </c>
      <c r="C26" t="inlineStr">
        <is>
          <t>15</t>
        </is>
      </c>
      <c r="D26" t="inlineStr">
        <is>
          <t>validated</t>
        </is>
      </c>
      <c r="E26" t="b">
        <v>1</v>
      </c>
      <c r="F26">
        <f>IMAGE("https://chmeetings.blob.core.windows.net/846969/attachments/z7xCROYqU640Hcj39vXnA/7df9ecde-a535-47b7-b28e-c4595f88700e.jpg")</f>
        <v/>
      </c>
      <c r="G26" t="inlineStr">
        <is>
          <t>Tran Luke</t>
        </is>
      </c>
      <c r="H26" t="inlineStr">
        <is>
          <t>Male</t>
        </is>
      </c>
      <c r="I26" t="n">
        <v>19</v>
      </c>
      <c r="J26" t="inlineStr">
        <is>
          <t>(714) 696-2217</t>
        </is>
      </c>
      <c r="K26" t="inlineStr">
        <is>
          <t>ltttran01@gmail.com</t>
        </is>
      </c>
      <c r="L26" t="inlineStr">
        <is>
          <t>Basketball</t>
        </is>
      </c>
      <c r="M26" t="inlineStr">
        <is>
          <t>Mixed</t>
        </is>
      </c>
      <c r="N26" t="inlineStr">
        <is>
          <t>Team</t>
        </is>
      </c>
      <c r="O26" t="inlineStr"/>
      <c r="P26" t="inlineStr"/>
    </row>
    <row r="27">
      <c r="A27" t="inlineStr">
        <is>
          <t>RPC</t>
        </is>
      </c>
      <c r="B27" t="inlineStr">
        <is>
          <t>3631500</t>
        </is>
      </c>
      <c r="C27" t="inlineStr">
        <is>
          <t>3</t>
        </is>
      </c>
      <c r="D27" t="inlineStr">
        <is>
          <t>approved</t>
        </is>
      </c>
      <c r="E27" t="b">
        <v>1</v>
      </c>
      <c r="F27">
        <f>IMAGE("https://chmeetings.blob.core.windows.net/846969/attachments/rifFK8C6ukaBd61Muax2zg/aa81b1ba-79c7-4fa6-95fe-b2e76e624195.jpg")</f>
        <v/>
      </c>
      <c r="G27" t="inlineStr">
        <is>
          <t>Chau Thomas</t>
        </is>
      </c>
      <c r="H27" t="inlineStr">
        <is>
          <t>Male</t>
        </is>
      </c>
      <c r="I27" t="n">
        <v>26</v>
      </c>
      <c r="J27" t="inlineStr">
        <is>
          <t>(626) 616-0320</t>
        </is>
      </c>
      <c r="K27" t="inlineStr">
        <is>
          <t>thomaschau2468@gmail.com</t>
        </is>
      </c>
      <c r="L27" t="inlineStr">
        <is>
          <t>Basketball</t>
        </is>
      </c>
      <c r="M27" t="inlineStr">
        <is>
          <t>Mixed</t>
        </is>
      </c>
      <c r="N27" t="inlineStr">
        <is>
          <t>Team</t>
        </is>
      </c>
      <c r="O27" t="inlineStr"/>
      <c r="P27" t="inlineStr"/>
    </row>
    <row r="28">
      <c r="A28" t="inlineStr">
        <is>
          <t>RPC</t>
        </is>
      </c>
      <c r="B28" t="inlineStr">
        <is>
          <t>3139537</t>
        </is>
      </c>
      <c r="C28" t="inlineStr">
        <is>
          <t>1</t>
        </is>
      </c>
      <c r="D28" t="inlineStr">
        <is>
          <t>validated</t>
        </is>
      </c>
      <c r="E28" t="b">
        <v>1</v>
      </c>
      <c r="F28">
        <f>IMAGE("https://chmeetings.blob.core.windows.net/846969/attachments/SnpHAMwrs02Ca3FCo4ZWwQ/d2d98798-711b-4696-8295-52f9363648ed.jpg")</f>
        <v/>
      </c>
      <c r="G28" t="inlineStr">
        <is>
          <t>Ho Timmy</t>
        </is>
      </c>
      <c r="H28" t="inlineStr">
        <is>
          <t>Male</t>
        </is>
      </c>
      <c r="I28" t="n">
        <v>26</v>
      </c>
      <c r="J28" t="inlineStr">
        <is>
          <t>(714) 402-0871</t>
        </is>
      </c>
      <c r="K28" t="inlineStr">
        <is>
          <t>timmyho@gmail.com</t>
        </is>
      </c>
      <c r="L28" t="inlineStr">
        <is>
          <t>Basketball</t>
        </is>
      </c>
      <c r="M28" t="inlineStr">
        <is>
          <t>Mixed</t>
        </is>
      </c>
      <c r="N28" t="inlineStr">
        <is>
          <t>Team</t>
        </is>
      </c>
      <c r="O28" t="inlineStr"/>
      <c r="P28" t="inlineStr"/>
    </row>
    <row r="29">
      <c r="A29" t="inlineStr">
        <is>
          <t>RPC</t>
        </is>
      </c>
      <c r="B29" t="inlineStr">
        <is>
          <t>3618011</t>
        </is>
      </c>
      <c r="C29" t="inlineStr">
        <is>
          <t>5</t>
        </is>
      </c>
      <c r="D29" t="inlineStr">
        <is>
          <t>pending_approval</t>
        </is>
      </c>
      <c r="E29" t="b">
        <v>0</v>
      </c>
      <c r="F29">
        <f>IMAGE("https://chmeetings.blob.core.windows.net/846969/attachments/6OVYqNsD0EIO2D8oWesg/01a47c45-de35-4b60-95bb-c6e2d14b9c31.jpg")</f>
        <v/>
      </c>
      <c r="G29" t="inlineStr">
        <is>
          <t>Kang Daniel</t>
        </is>
      </c>
      <c r="H29" t="inlineStr">
        <is>
          <t>Male</t>
        </is>
      </c>
      <c r="I29" t="n">
        <v>26</v>
      </c>
      <c r="J29" t="inlineStr">
        <is>
          <t>(510) 846-6754</t>
        </is>
      </c>
      <c r="K29" t="inlineStr">
        <is>
          <t>dkang1617@gmail.com</t>
        </is>
      </c>
      <c r="L29" t="inlineStr">
        <is>
          <t>Basketball</t>
        </is>
      </c>
      <c r="M29" t="inlineStr">
        <is>
          <t>Mixed</t>
        </is>
      </c>
      <c r="N29" t="inlineStr">
        <is>
          <t>Team</t>
        </is>
      </c>
      <c r="O29" t="inlineStr"/>
      <c r="P29" t="inlineStr"/>
    </row>
    <row r="30">
      <c r="A30" t="inlineStr">
        <is>
          <t>RPC</t>
        </is>
      </c>
      <c r="B30" t="inlineStr">
        <is>
          <t>3623161</t>
        </is>
      </c>
      <c r="C30" t="inlineStr">
        <is>
          <t>73</t>
        </is>
      </c>
      <c r="D30" t="inlineStr">
        <is>
          <t>validated</t>
        </is>
      </c>
      <c r="E30" t="b">
        <v>1</v>
      </c>
      <c r="F30">
        <f>IMAGE("https://chmeetings.blob.core.windows.net/846969/attachments/zFu5Ye4YuEfPPzx7Tm6w/45aec502-759a-4cc4-ac10-f3507cc30551.jpg")</f>
        <v/>
      </c>
      <c r="G30" t="inlineStr">
        <is>
          <t>Lam Dimitri</t>
        </is>
      </c>
      <c r="H30" t="inlineStr">
        <is>
          <t>Male</t>
        </is>
      </c>
      <c r="I30" t="n">
        <v>24</v>
      </c>
      <c r="J30" t="inlineStr">
        <is>
          <t>(714) 204-9160</t>
        </is>
      </c>
      <c r="K30" t="inlineStr">
        <is>
          <t>Dimitrilam33@gmail.com</t>
        </is>
      </c>
      <c r="L30" t="inlineStr">
        <is>
          <t>Basketball</t>
        </is>
      </c>
      <c r="M30" t="inlineStr">
        <is>
          <t>Mixed</t>
        </is>
      </c>
      <c r="N30" t="inlineStr">
        <is>
          <t>Team</t>
        </is>
      </c>
      <c r="O30" t="inlineStr"/>
      <c r="P30" t="inlineStr"/>
    </row>
    <row r="31">
      <c r="A31" t="inlineStr">
        <is>
          <t>RPC</t>
        </is>
      </c>
      <c r="B31" t="inlineStr">
        <is>
          <t>3618796</t>
        </is>
      </c>
      <c r="C31" t="inlineStr">
        <is>
          <t>7</t>
        </is>
      </c>
      <c r="D31" t="inlineStr">
        <is>
          <t>pending</t>
        </is>
      </c>
      <c r="E31" t="b">
        <v>1</v>
      </c>
      <c r="F31">
        <f>IMAGE("https://chmeetings.blob.core.windows.net/846969/attachments/6phgsjmFklfKzzU3ErQ/5e007272-27f7-4f8f-a466-456aac4cdea1.jpg")</f>
        <v/>
      </c>
      <c r="G31" t="inlineStr">
        <is>
          <t>Le Jacob</t>
        </is>
      </c>
      <c r="H31" t="inlineStr">
        <is>
          <t>Male</t>
        </is>
      </c>
      <c r="I31" t="n">
        <v>16</v>
      </c>
      <c r="J31" t="inlineStr">
        <is>
          <t>(714) 316-9141</t>
        </is>
      </c>
      <c r="K31" t="inlineStr">
        <is>
          <t>jacob.mle21@gmail.com</t>
        </is>
      </c>
      <c r="L31" t="inlineStr">
        <is>
          <t>Basketball</t>
        </is>
      </c>
      <c r="M31" t="inlineStr">
        <is>
          <t>Mixed</t>
        </is>
      </c>
      <c r="N31" t="inlineStr">
        <is>
          <t>Team</t>
        </is>
      </c>
      <c r="O31" t="inlineStr"/>
      <c r="P31" t="inlineStr"/>
    </row>
    <row r="32">
      <c r="A32" t="inlineStr">
        <is>
          <t>RPC</t>
        </is>
      </c>
      <c r="B32" t="inlineStr">
        <is>
          <t>3555636</t>
        </is>
      </c>
      <c r="C32" t="inlineStr">
        <is>
          <t>8</t>
        </is>
      </c>
      <c r="D32" t="inlineStr">
        <is>
          <t>pending_approval</t>
        </is>
      </c>
      <c r="E32" t="b">
        <v>1</v>
      </c>
      <c r="F32">
        <f>IMAGE("https://chmeetings.blob.core.windows.net/846969/attachments/36FhCP1SVUOsQR7N2tJn1w/7ea62dc3-e494-43d3-847e-27ce2f1891cb.jpg")</f>
        <v/>
      </c>
      <c r="G32" t="inlineStr">
        <is>
          <t>Nguyen James</t>
        </is>
      </c>
      <c r="H32" t="inlineStr">
        <is>
          <t>Male</t>
        </is>
      </c>
      <c r="I32" t="n">
        <v>19</v>
      </c>
      <c r="J32" t="inlineStr">
        <is>
          <t>(657) 678-8212</t>
        </is>
      </c>
      <c r="K32" t="inlineStr">
        <is>
          <t>jamesthesplashdog12345678@gmail.com</t>
        </is>
      </c>
      <c r="L32" t="inlineStr">
        <is>
          <t>Basketball</t>
        </is>
      </c>
      <c r="M32" t="inlineStr">
        <is>
          <t>Mixed</t>
        </is>
      </c>
      <c r="N32" t="inlineStr">
        <is>
          <t>Team</t>
        </is>
      </c>
      <c r="O32" t="inlineStr"/>
      <c r="P32" t="inlineStr"/>
    </row>
    <row r="33">
      <c r="A33" t="inlineStr">
        <is>
          <t>RPC</t>
        </is>
      </c>
      <c r="B33" t="inlineStr">
        <is>
          <t>4363698</t>
        </is>
      </c>
      <c r="C33" t="inlineStr">
        <is>
          <t>77</t>
        </is>
      </c>
      <c r="D33" t="inlineStr">
        <is>
          <t>pending</t>
        </is>
      </c>
      <c r="E33" t="b">
        <v>1</v>
      </c>
      <c r="F33">
        <f>IMAGE("https://chmeetings.blob.core.windows.net/846969/attachments/qIYHWe3q8U0gELP4AgMfQ/4133a14e-e156-4df5-b4ec-cabb071ccea9.jpg")</f>
        <v/>
      </c>
      <c r="G33" t="inlineStr">
        <is>
          <t>Phan Thomas</t>
        </is>
      </c>
      <c r="H33" t="inlineStr">
        <is>
          <t>Male</t>
        </is>
      </c>
      <c r="I33" t="n">
        <v>16</v>
      </c>
      <c r="J33" t="inlineStr">
        <is>
          <t>(714) 418-6964</t>
        </is>
      </c>
      <c r="K33" t="inlineStr">
        <is>
          <t>Phantomthomas31@gmail.com</t>
        </is>
      </c>
      <c r="L33" t="inlineStr">
        <is>
          <t>Basketball</t>
        </is>
      </c>
      <c r="M33" t="inlineStr">
        <is>
          <t>Mixed</t>
        </is>
      </c>
      <c r="N33" t="inlineStr">
        <is>
          <t>Team</t>
        </is>
      </c>
      <c r="O33" t="inlineStr"/>
      <c r="P33" t="inlineStr"/>
    </row>
    <row r="34">
      <c r="A34" t="inlineStr">
        <is>
          <t>RPC</t>
        </is>
      </c>
      <c r="B34" t="inlineStr">
        <is>
          <t>3319105</t>
        </is>
      </c>
      <c r="C34" t="inlineStr">
        <is>
          <t>11</t>
        </is>
      </c>
      <c r="D34" t="inlineStr">
        <is>
          <t>validated</t>
        </is>
      </c>
      <c r="E34" t="b">
        <v>1</v>
      </c>
      <c r="F34">
        <f>IMAGE("https://chmeetings.blob.core.windows.net/846969/attachments/bVZcD2bP0St7ybRoDd4Q/2b49c12a-c936-4b98-ab99-8cdef0996409.jpg")</f>
        <v/>
      </c>
      <c r="G34" t="inlineStr">
        <is>
          <t>Quach Khoi</t>
        </is>
      </c>
      <c r="H34" t="inlineStr">
        <is>
          <t>Male</t>
        </is>
      </c>
      <c r="I34" t="n">
        <v>27</v>
      </c>
      <c r="J34" t="inlineStr">
        <is>
          <t>(626) 679-7802</t>
        </is>
      </c>
      <c r="K34" t="inlineStr">
        <is>
          <t>Kquach4706@gmail.com</t>
        </is>
      </c>
      <c r="L34" t="inlineStr">
        <is>
          <t>Basketball</t>
        </is>
      </c>
      <c r="M34" t="inlineStr">
        <is>
          <t>Mixed</t>
        </is>
      </c>
      <c r="N34" t="inlineStr">
        <is>
          <t>Team</t>
        </is>
      </c>
      <c r="O34" t="inlineStr"/>
      <c r="P34" t="inlineStr"/>
    </row>
  </sheetData>
  <autoFilter ref="A1:P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0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5" customWidth="1" min="11" max="11"/>
    <col width="14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Soccer - Coed Exhibition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4363695</t>
        </is>
      </c>
      <c r="C3" t="inlineStr">
        <is>
          <t>112</t>
        </is>
      </c>
      <c r="D3" t="inlineStr">
        <is>
          <t>validated</t>
        </is>
      </c>
      <c r="E3" t="b">
        <v>1</v>
      </c>
      <c r="F3">
        <f>IMAGE("https://chmeetings.blob.core.windows.net/846969/attachments/BINhgC34TECifThOttOVlQ/04fe1f84-53cd-41d0-a989-73440f1470ff.jpg")</f>
        <v/>
      </c>
      <c r="G3" t="inlineStr">
        <is>
          <t>Nguyen Thinh</t>
        </is>
      </c>
      <c r="H3" t="inlineStr">
        <is>
          <t>Male</t>
        </is>
      </c>
      <c r="I3" t="n">
        <v>24</v>
      </c>
      <c r="J3" t="inlineStr">
        <is>
          <t>(206) 581-7487</t>
        </is>
      </c>
      <c r="K3" t="inlineStr">
        <is>
          <t>mthinhngn@gmail.com</t>
        </is>
      </c>
      <c r="L3" t="inlineStr">
        <is>
          <t>Soccer - Coed Exhibition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3615948</t>
        </is>
      </c>
      <c r="C4" t="inlineStr">
        <is>
          <t>46</t>
        </is>
      </c>
      <c r="D4" t="inlineStr">
        <is>
          <t>validated</t>
        </is>
      </c>
      <c r="E4" t="b">
        <v>1</v>
      </c>
      <c r="F4">
        <f>IMAGE("https://chmeetings.blob.core.windows.net/846969/attachments/jl2i4eVeYECLBJcTyk7tA/55b9f204-7df3-4ccf-ba35-08d5400d946c.jpg")</f>
        <v/>
      </c>
      <c r="G4" t="inlineStr">
        <is>
          <t>Ta Anthony</t>
        </is>
      </c>
      <c r="H4" t="inlineStr">
        <is>
          <t>Male</t>
        </is>
      </c>
      <c r="I4" t="n">
        <v>25</v>
      </c>
      <c r="J4" t="inlineStr">
        <is>
          <t>502</t>
        </is>
      </c>
      <c r="K4" t="inlineStr">
        <is>
          <t>anthonyta502@gmail.com</t>
        </is>
      </c>
      <c r="L4" t="inlineStr">
        <is>
          <t>Soccer - Coed Exhibition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3610920</t>
        </is>
      </c>
      <c r="C5" t="inlineStr">
        <is>
          <t>45</t>
        </is>
      </c>
      <c r="D5" t="inlineStr">
        <is>
          <t>validated</t>
        </is>
      </c>
      <c r="E5" t="b">
        <v>1</v>
      </c>
      <c r="F5">
        <f>IMAGE("https://chmeetings.blob.core.windows.net/846969/attachments/OyWbdJyT5EixPoP3spOyLg/80becd09-3898-4d0b-a5a3-71310f9d20d4.jpg")</f>
        <v/>
      </c>
      <c r="G5" t="inlineStr">
        <is>
          <t>Vo Aly</t>
        </is>
      </c>
      <c r="H5" t="inlineStr">
        <is>
          <t>Female</t>
        </is>
      </c>
      <c r="I5" t="n">
        <v>18</v>
      </c>
      <c r="J5" t="inlineStr">
        <is>
          <t>(341) 227-8343</t>
        </is>
      </c>
      <c r="K5" t="inlineStr">
        <is>
          <t>Aly.vo29@gmail.com</t>
        </is>
      </c>
      <c r="L5" t="inlineStr">
        <is>
          <t>Soccer - Coed Exhibition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3610917</t>
        </is>
      </c>
      <c r="C6" t="inlineStr">
        <is>
          <t>56</t>
        </is>
      </c>
      <c r="D6" t="inlineStr">
        <is>
          <t>validated</t>
        </is>
      </c>
      <c r="E6" t="b">
        <v>1</v>
      </c>
      <c r="F6">
        <f>IMAGE("https://chmeetings.blob.core.windows.net/846969/attachments/dbPn6hwRbUmuEMeKWTNWxg/56cb0979-8b71-4c8e-9f5b-db9d018e400f.jpg")</f>
        <v/>
      </c>
      <c r="G6" t="inlineStr">
        <is>
          <t>Vo Kayla</t>
        </is>
      </c>
      <c r="H6" t="inlineStr">
        <is>
          <t>Female</t>
        </is>
      </c>
      <c r="I6" t="n">
        <v>19</v>
      </c>
      <c r="J6" t="inlineStr">
        <is>
          <t>(510) 774-2614</t>
        </is>
      </c>
      <c r="K6" t="inlineStr">
        <is>
          <t>kaimyvo@gmail.com</t>
        </is>
      </c>
      <c r="L6" t="inlineStr">
        <is>
          <t>Soccer - Coed Exhibition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MWC</t>
        </is>
      </c>
      <c r="B7" t="inlineStr">
        <is>
          <t>4363690</t>
        </is>
      </c>
      <c r="C7" t="inlineStr">
        <is>
          <t>117</t>
        </is>
      </c>
      <c r="D7" t="inlineStr">
        <is>
          <t>validated</t>
        </is>
      </c>
      <c r="E7" t="b">
        <v>1</v>
      </c>
      <c r="F7">
        <f>IMAGE("https://chmeetings.blob.core.windows.net/846969/attachments/TK02JE6UvkS6L5y3RVMZpw/1c35dc11-101f-473e-9f3b-e6cf53c7a11e.jpg")</f>
        <v/>
      </c>
      <c r="G7" t="inlineStr">
        <is>
          <t>Bui Bao</t>
        </is>
      </c>
      <c r="H7" t="inlineStr">
        <is>
          <t>Male</t>
        </is>
      </c>
      <c r="I7" t="n">
        <v>18</v>
      </c>
      <c r="J7" t="inlineStr">
        <is>
          <t>(657) 410-9810</t>
        </is>
      </c>
      <c r="K7" t="inlineStr">
        <is>
          <t>baothegamer@gmail.com</t>
        </is>
      </c>
      <c r="L7" t="inlineStr">
        <is>
          <t>Soccer - Coed Exhibition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MWC</t>
        </is>
      </c>
      <c r="B8" t="inlineStr">
        <is>
          <t>4363691</t>
        </is>
      </c>
      <c r="C8" t="inlineStr">
        <is>
          <t>118</t>
        </is>
      </c>
      <c r="D8" t="inlineStr">
        <is>
          <t>pending</t>
        </is>
      </c>
      <c r="E8" t="b">
        <v>1</v>
      </c>
      <c r="F8">
        <f>IMAGE("https://chmeetings.blob.core.windows.net/846969/attachments/LZK1UKiU9ka1qz181LoFHw/c787d8f9-2fa0-4b66-9472-2970b24b4acd.jpg")</f>
        <v/>
      </c>
      <c r="G8" t="inlineStr">
        <is>
          <t>Bui Benjamin</t>
        </is>
      </c>
      <c r="H8" t="inlineStr">
        <is>
          <t>Male</t>
        </is>
      </c>
      <c r="I8" t="n">
        <v>15</v>
      </c>
      <c r="J8" t="inlineStr">
        <is>
          <t>17142449022</t>
        </is>
      </c>
      <c r="K8" t="inlineStr">
        <is>
          <t>Buibenjamine@gmail.com</t>
        </is>
      </c>
      <c r="L8" t="inlineStr">
        <is>
          <t>Soccer - Coed Exhibition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ORN</t>
        </is>
      </c>
      <c r="B9" t="inlineStr">
        <is>
          <t>3623157</t>
        </is>
      </c>
      <c r="C9" t="inlineStr">
        <is>
          <t>79</t>
        </is>
      </c>
      <c r="D9" t="inlineStr">
        <is>
          <t>validated</t>
        </is>
      </c>
      <c r="E9" t="b">
        <v>1</v>
      </c>
      <c r="F9">
        <f>IMAGE("https://chmeetings.blob.core.windows.net/846969/attachments/HzlweDuVSE6PkzH7lPPQ/b05978ca-bb0d-4025-8e8b-e4bcb1a862e7.jpg")</f>
        <v/>
      </c>
      <c r="G9" t="inlineStr">
        <is>
          <t>Ho Johnny</t>
        </is>
      </c>
      <c r="H9" t="inlineStr">
        <is>
          <t>Male</t>
        </is>
      </c>
      <c r="I9" t="n">
        <v>18</v>
      </c>
      <c r="J9" t="inlineStr">
        <is>
          <t>(951) 573-3752</t>
        </is>
      </c>
      <c r="K9" t="inlineStr">
        <is>
          <t>hodoanhongquan2024@gmail.com</t>
        </is>
      </c>
      <c r="L9" t="inlineStr">
        <is>
          <t>Soccer - Coed Exhibition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ORN</t>
        </is>
      </c>
      <c r="B10" t="inlineStr">
        <is>
          <t>3636312</t>
        </is>
      </c>
      <c r="C10" t="inlineStr">
        <is>
          <t>18</t>
        </is>
      </c>
      <c r="D10" t="inlineStr">
        <is>
          <t>validated</t>
        </is>
      </c>
      <c r="E10" t="b">
        <v>1</v>
      </c>
      <c r="F10">
        <f>IMAGE("https://chmeetings.blob.core.windows.net/846969/attachments/rmWCxWcMEGG5rXmhOlu0w/0885f487-e712-429a-b0e2-a388a96de779.jpg")</f>
        <v/>
      </c>
      <c r="G10" t="inlineStr">
        <is>
          <t>Ho Patrick</t>
        </is>
      </c>
      <c r="H10" t="inlineStr">
        <is>
          <t>Male</t>
        </is>
      </c>
      <c r="I10" t="n">
        <v>20</v>
      </c>
      <c r="J10" t="inlineStr">
        <is>
          <t>(840) 265-5989</t>
        </is>
      </c>
      <c r="K10" t="inlineStr">
        <is>
          <t>quangforwork105@gmail.com</t>
        </is>
      </c>
      <c r="L10" t="inlineStr">
        <is>
          <t>Soccer - Coed Exhibition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ORN</t>
        </is>
      </c>
      <c r="B11" t="inlineStr">
        <is>
          <t>4363697</t>
        </is>
      </c>
      <c r="C11" t="inlineStr">
        <is>
          <t>78</t>
        </is>
      </c>
      <c r="D11" t="inlineStr">
        <is>
          <t>validated</t>
        </is>
      </c>
      <c r="E11" t="b">
        <v>1</v>
      </c>
      <c r="F11">
        <f>IMAGE("https://chmeetings.blob.core.windows.net/846969/attachments/askB42UIkkCVV68lGcOo2A/f5e4634d-a461-4e22-82cb-04c4294c2071.jpg")</f>
        <v/>
      </c>
      <c r="G11" t="inlineStr">
        <is>
          <t>Pham Dat</t>
        </is>
      </c>
      <c r="H11" t="inlineStr">
        <is>
          <t>Male</t>
        </is>
      </c>
      <c r="I11" t="n">
        <v>21</v>
      </c>
      <c r="J11" t="inlineStr">
        <is>
          <t>(951) 892-9984</t>
        </is>
      </c>
      <c r="K11" t="inlineStr">
        <is>
          <t>truongdatpham@gmail.com</t>
        </is>
      </c>
      <c r="L11" t="inlineStr">
        <is>
          <t>Soccer - Coed Exhibition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PCC</t>
        </is>
      </c>
      <c r="B12" t="inlineStr">
        <is>
          <t>3615924</t>
        </is>
      </c>
      <c r="C12" t="inlineStr">
        <is>
          <t>96</t>
        </is>
      </c>
      <c r="D12" t="inlineStr">
        <is>
          <t>validated</t>
        </is>
      </c>
      <c r="E12" t="b">
        <v>1</v>
      </c>
      <c r="F12">
        <f>IMAGE("https://chmeetings.blob.core.windows.net/846969/attachments/MZuX3sULm0uE6GUDiZyag/d82bddb5-8dc3-451c-a737-e765849edbe5.jpg")</f>
        <v/>
      </c>
      <c r="G12" t="inlineStr">
        <is>
          <t>Doan Sylas</t>
        </is>
      </c>
      <c r="H12" t="inlineStr">
        <is>
          <t>Male</t>
        </is>
      </c>
      <c r="I12" t="n">
        <v>18</v>
      </c>
      <c r="J12" t="inlineStr">
        <is>
          <t>(619) 897-0626</t>
        </is>
      </c>
      <c r="K12" t="inlineStr">
        <is>
          <t>sylaskdoan@gmail.com</t>
        </is>
      </c>
      <c r="L12" t="inlineStr">
        <is>
          <t>Soccer - Coed Exhibition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PCC</t>
        </is>
      </c>
      <c r="B13" t="inlineStr">
        <is>
          <t>3610933</t>
        </is>
      </c>
      <c r="C13" t="inlineStr">
        <is>
          <t>101</t>
        </is>
      </c>
      <c r="D13" t="inlineStr">
        <is>
          <t>validated</t>
        </is>
      </c>
      <c r="E13" t="b">
        <v>1</v>
      </c>
      <c r="F13">
        <f>IMAGE("https://chmeetings.blob.core.windows.net/846969/attachments/rsy8NHglukeGParGAUGW1g/b5dcbd2f-ae7f-4d6e-b042-75f29e50fee8.jpg")</f>
        <v/>
      </c>
      <c r="G13" t="inlineStr">
        <is>
          <t>huynh khang</t>
        </is>
      </c>
      <c r="H13" t="inlineStr">
        <is>
          <t>Male</t>
        </is>
      </c>
      <c r="I13" t="n">
        <v>20</v>
      </c>
      <c r="J13" t="inlineStr">
        <is>
          <t>(858) 305-9787</t>
        </is>
      </c>
      <c r="K13" t="inlineStr">
        <is>
          <t>khanghuynh1324@icloud.com</t>
        </is>
      </c>
      <c r="L13" t="inlineStr">
        <is>
          <t>Soccer - Coed Exhibition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RPC</t>
        </is>
      </c>
      <c r="B14" t="inlineStr">
        <is>
          <t>3631500</t>
        </is>
      </c>
      <c r="C14" t="inlineStr">
        <is>
          <t>3</t>
        </is>
      </c>
      <c r="D14" t="inlineStr">
        <is>
          <t>approved</t>
        </is>
      </c>
      <c r="E14" t="b">
        <v>1</v>
      </c>
      <c r="F14">
        <f>IMAGE("https://chmeetings.blob.core.windows.net/846969/attachments/rifFK8C6ukaBd61Muax2zg/aa81b1ba-79c7-4fa6-95fe-b2e76e624195.jpg")</f>
        <v/>
      </c>
      <c r="G14" t="inlineStr">
        <is>
          <t>Chau Thomas</t>
        </is>
      </c>
      <c r="H14" t="inlineStr">
        <is>
          <t>Male</t>
        </is>
      </c>
      <c r="I14" t="n">
        <v>26</v>
      </c>
      <c r="J14" t="inlineStr">
        <is>
          <t>(626) 616-0320</t>
        </is>
      </c>
      <c r="K14" t="inlineStr">
        <is>
          <t>thomaschau2468@gmail.com</t>
        </is>
      </c>
      <c r="L14" t="inlineStr">
        <is>
          <t>Soccer - Coed Exhibition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RPC</t>
        </is>
      </c>
      <c r="B15" t="inlineStr">
        <is>
          <t>3623161</t>
        </is>
      </c>
      <c r="C15" t="inlineStr">
        <is>
          <t>73</t>
        </is>
      </c>
      <c r="D15" t="inlineStr">
        <is>
          <t>validated</t>
        </is>
      </c>
      <c r="E15" t="b">
        <v>1</v>
      </c>
      <c r="F15">
        <f>IMAGE("https://chmeetings.blob.core.windows.net/846969/attachments/zFu5Ye4YuEfPPzx7Tm6w/45aec502-759a-4cc4-ac10-f3507cc30551.jpg")</f>
        <v/>
      </c>
      <c r="G15" t="inlineStr">
        <is>
          <t>Lam Dimitri</t>
        </is>
      </c>
      <c r="H15" t="inlineStr">
        <is>
          <t>Male</t>
        </is>
      </c>
      <c r="I15" t="n">
        <v>24</v>
      </c>
      <c r="J15" t="inlineStr">
        <is>
          <t>(714) 204-9160</t>
        </is>
      </c>
      <c r="K15" t="inlineStr">
        <is>
          <t>Dimitrilam33@gmail.com</t>
        </is>
      </c>
      <c r="L15" t="inlineStr">
        <is>
          <t>Soccer - Coed Exhibition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TLC</t>
        </is>
      </c>
      <c r="B16" t="inlineStr">
        <is>
          <t>3562839</t>
        </is>
      </c>
      <c r="C16" t="inlineStr">
        <is>
          <t>31</t>
        </is>
      </c>
      <c r="D16" t="inlineStr">
        <is>
          <t>pending_approval</t>
        </is>
      </c>
      <c r="E16" t="b">
        <v>1</v>
      </c>
      <c r="F16">
        <f>IMAGE("https://chmeetings.blob.core.windows.net/846969/attachments/YGg8n4kfIE6Jo6c8Uj0LMQ/267c68c0-1843-43e2-93a4-f5c795fb5c3f.jpg")</f>
        <v/>
      </c>
      <c r="G16" t="inlineStr">
        <is>
          <t>Le Shawn</t>
        </is>
      </c>
      <c r="H16" t="inlineStr">
        <is>
          <t>Male</t>
        </is>
      </c>
      <c r="I16" t="n">
        <v>28</v>
      </c>
      <c r="J16" t="inlineStr">
        <is>
          <t>(949) 416-8033</t>
        </is>
      </c>
      <c r="K16" t="inlineStr">
        <is>
          <t>shawn.le@thanhlechurch.com</t>
        </is>
      </c>
      <c r="L16" t="inlineStr">
        <is>
          <t>Soccer - Coed Exhibition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</sheetData>
  <autoFilter ref="A1:P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" customWidth="1" min="11" max="11"/>
    <col width="8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Track &amp; Field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4361952</t>
        </is>
      </c>
      <c r="C3" t="inlineStr">
        <is>
          <t>57</t>
        </is>
      </c>
      <c r="D3" t="inlineStr">
        <is>
          <t>pending</t>
        </is>
      </c>
      <c r="E3" t="b">
        <v>1</v>
      </c>
      <c r="F3">
        <f>IMAGE("https://chmeetings.blob.core.windows.net/846969/attachments/Hjxi9RYULUCBzV5lFGI92Q/b0ae99dc-29e8-4902-8dad-c2ffe54bf1b2.jpg")</f>
        <v/>
      </c>
      <c r="G3" t="inlineStr">
        <is>
          <t>Cisneros Michael</t>
        </is>
      </c>
      <c r="H3" t="inlineStr">
        <is>
          <t>Male</t>
        </is>
      </c>
      <c r="I3" t="n">
        <v>16</v>
      </c>
      <c r="J3" t="inlineStr">
        <is>
          <t>(925) 826-9988</t>
        </is>
      </c>
      <c r="K3" t="inlineStr">
        <is>
          <t>michael.cisneros03@icloud.com</t>
        </is>
      </c>
      <c r="L3" t="inlineStr">
        <is>
          <t>Track &amp; Field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3636819</t>
        </is>
      </c>
      <c r="C4" t="inlineStr">
        <is>
          <t>53</t>
        </is>
      </c>
      <c r="D4" t="inlineStr">
        <is>
          <t>validated</t>
        </is>
      </c>
      <c r="E4" t="b">
        <v>1</v>
      </c>
      <c r="F4">
        <f>IMAGE("https://chmeetings.blob.core.windows.net/846969/attachments/2EMW7UJtRk6APQ4qdfqDcA/cae1b6ba-c323-4927-8239-f131801812c4.jpg")</f>
        <v/>
      </c>
      <c r="G4" t="inlineStr">
        <is>
          <t>OConnor Jeremy</t>
        </is>
      </c>
      <c r="H4" t="inlineStr">
        <is>
          <t>Male</t>
        </is>
      </c>
      <c r="I4" t="n">
        <v>28</v>
      </c>
      <c r="J4" t="inlineStr">
        <is>
          <t>(408) 728-2130</t>
        </is>
      </c>
      <c r="K4" t="inlineStr">
        <is>
          <t>jeremyoc241@gmail.com</t>
        </is>
      </c>
      <c r="L4" t="inlineStr">
        <is>
          <t>Track &amp; Field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4363701</t>
        </is>
      </c>
      <c r="C5" t="inlineStr">
        <is>
          <t>105</t>
        </is>
      </c>
      <c r="D5" t="inlineStr">
        <is>
          <t>pending</t>
        </is>
      </c>
      <c r="E5" t="b">
        <v>1</v>
      </c>
      <c r="F5">
        <f>IMAGE("https://chmeetings.blob.core.windows.net/846969/attachments/PE42ANWDEO4itEGSLic9A/c8d67430-bdd3-47dd-a724-f577a5d5e3e7.jpg")</f>
        <v/>
      </c>
      <c r="G5" t="inlineStr">
        <is>
          <t>Tran Caitlin</t>
        </is>
      </c>
      <c r="H5" t="inlineStr">
        <is>
          <t>Female</t>
        </is>
      </c>
      <c r="I5" t="n">
        <v>13</v>
      </c>
      <c r="J5" t="inlineStr">
        <is>
          <t>(408) 568-7264</t>
        </is>
      </c>
      <c r="K5" t="inlineStr">
        <is>
          <t>timltran2003@yahoo.com</t>
        </is>
      </c>
      <c r="L5" t="inlineStr">
        <is>
          <t>Track &amp; Field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3618804</t>
        </is>
      </c>
      <c r="C6" t="inlineStr">
        <is>
          <t>111</t>
        </is>
      </c>
      <c r="D6" t="inlineStr">
        <is>
          <t>pending</t>
        </is>
      </c>
      <c r="E6" t="b">
        <v>1</v>
      </c>
      <c r="F6">
        <f>IMAGE("https://chmeetings.blob.core.windows.net/846969/attachments/fa57rd7DEUi3wuhMi4fndw/4e49d748-6cc9-4bf5-a217-81f093199461.jpg")</f>
        <v/>
      </c>
      <c r="G6" t="inlineStr">
        <is>
          <t>Tran Phillip</t>
        </is>
      </c>
      <c r="H6" t="inlineStr">
        <is>
          <t>Male</t>
        </is>
      </c>
      <c r="I6" t="n">
        <v>15</v>
      </c>
      <c r="J6" t="inlineStr">
        <is>
          <t>(408) 616-9839</t>
        </is>
      </c>
      <c r="K6" t="inlineStr">
        <is>
          <t>phillipissupercool538@gmail.com</t>
        </is>
      </c>
      <c r="L6" t="inlineStr">
        <is>
          <t>Track &amp; Field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GLA</t>
        </is>
      </c>
      <c r="B7" t="inlineStr">
        <is>
          <t>3570848</t>
        </is>
      </c>
      <c r="C7" t="inlineStr">
        <is>
          <t>90</t>
        </is>
      </c>
      <c r="D7" t="inlineStr">
        <is>
          <t>pending_approval</t>
        </is>
      </c>
      <c r="E7" t="b">
        <v>1</v>
      </c>
      <c r="F7">
        <f>IMAGE("https://chmeetings.blob.core.windows.net/846969/attachments/9nPE07rppUmkSggzO9ESg/47d06526-4fa5-4234-9c13-94ab1e6ca296.jpg")</f>
        <v/>
      </c>
      <c r="G7" t="inlineStr">
        <is>
          <t>Miciano Edwin Joshua</t>
        </is>
      </c>
      <c r="H7" t="inlineStr">
        <is>
          <t>Male</t>
        </is>
      </c>
      <c r="I7" t="n">
        <v>25</v>
      </c>
      <c r="J7" t="inlineStr">
        <is>
          <t>(818) 572-5802</t>
        </is>
      </c>
      <c r="K7" t="inlineStr">
        <is>
          <t>ejomiciano@gmail.com</t>
        </is>
      </c>
      <c r="L7" t="inlineStr">
        <is>
          <t>Track &amp; Field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GLA</t>
        </is>
      </c>
      <c r="B8" t="inlineStr">
        <is>
          <t>3629598</t>
        </is>
      </c>
      <c r="C8" t="inlineStr">
        <is>
          <t>36</t>
        </is>
      </c>
      <c r="D8" t="inlineStr">
        <is>
          <t>pending_approval</t>
        </is>
      </c>
      <c r="E8" t="b">
        <v>1</v>
      </c>
      <c r="F8">
        <f>IMAGE("https://chmeetings.blob.core.windows.net/846969/attachments/BXJuEt43kmCzzwySYy0w/35a1da42-670c-46b3-a780-f0a182a01ab2.jpg")</f>
        <v/>
      </c>
      <c r="G8" t="inlineStr">
        <is>
          <t>Ngo Jason</t>
        </is>
      </c>
      <c r="H8" t="inlineStr">
        <is>
          <t>Male</t>
        </is>
      </c>
      <c r="I8" t="n">
        <v>18</v>
      </c>
      <c r="J8" t="inlineStr">
        <is>
          <t>(626) 382-9183</t>
        </is>
      </c>
      <c r="K8" t="inlineStr">
        <is>
          <t>ngojason99@gmail.com</t>
        </is>
      </c>
      <c r="L8" t="inlineStr">
        <is>
          <t>Track &amp; Field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MWC</t>
        </is>
      </c>
      <c r="B9" t="inlineStr">
        <is>
          <t>4363691</t>
        </is>
      </c>
      <c r="C9" t="inlineStr">
        <is>
          <t>118</t>
        </is>
      </c>
      <c r="D9" t="inlineStr">
        <is>
          <t>pending</t>
        </is>
      </c>
      <c r="E9" t="b">
        <v>1</v>
      </c>
      <c r="F9">
        <f>IMAGE("https://chmeetings.blob.core.windows.net/846969/attachments/LZK1UKiU9ka1qz181LoFHw/c787d8f9-2fa0-4b66-9472-2970b24b4acd.jpg")</f>
        <v/>
      </c>
      <c r="G9" t="inlineStr">
        <is>
          <t>Bui Benjamin</t>
        </is>
      </c>
      <c r="H9" t="inlineStr">
        <is>
          <t>Male</t>
        </is>
      </c>
      <c r="I9" t="n">
        <v>15</v>
      </c>
      <c r="J9" t="inlineStr">
        <is>
          <t>17142449022</t>
        </is>
      </c>
      <c r="K9" t="inlineStr">
        <is>
          <t>Buibenjamine@gmail.com</t>
        </is>
      </c>
      <c r="L9" t="inlineStr">
        <is>
          <t>Track &amp; Field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NHC</t>
        </is>
      </c>
      <c r="B10" t="inlineStr">
        <is>
          <t>3570849</t>
        </is>
      </c>
      <c r="C10" t="inlineStr">
        <is>
          <t>32</t>
        </is>
      </c>
      <c r="D10" t="inlineStr">
        <is>
          <t>validated</t>
        </is>
      </c>
      <c r="E10" t="b">
        <v>1</v>
      </c>
      <c r="F10">
        <f>IMAGE("https://chmeetings.blob.core.windows.net/846969/attachments/ImZkxkYEeJVq4IgCqawg/acea4bd7-c650-4527-8991-aa7a30072191.jpg")</f>
        <v/>
      </c>
      <c r="G10" t="inlineStr">
        <is>
          <t>Nguyen Faith</t>
        </is>
      </c>
      <c r="H10" t="inlineStr">
        <is>
          <t>Female</t>
        </is>
      </c>
      <c r="I10" t="n">
        <v>21</v>
      </c>
      <c r="J10" t="inlineStr">
        <is>
          <t>(818) 364-1995</t>
        </is>
      </c>
      <c r="K10" t="inlineStr">
        <is>
          <t>faithdnguyen@gmail.com</t>
        </is>
      </c>
      <c r="L10" t="inlineStr">
        <is>
          <t>Track &amp; Field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OCB</t>
        </is>
      </c>
      <c r="B11" t="inlineStr">
        <is>
          <t>3635883</t>
        </is>
      </c>
      <c r="C11" t="inlineStr">
        <is>
          <t>129</t>
        </is>
      </c>
      <c r="D11" t="inlineStr">
        <is>
          <t>validated</t>
        </is>
      </c>
      <c r="E11" t="b">
        <v>1</v>
      </c>
      <c r="F11">
        <f>IMAGE("https://chmeetings.blob.core.windows.net/846969/attachments/YsOBYBV0q0OlqZ15fv698g/6b2979fd-e678-4960-90b4-480f52cec039.jpg")</f>
        <v/>
      </c>
      <c r="G11" t="inlineStr">
        <is>
          <t>Nguyen Henry</t>
        </is>
      </c>
      <c r="H11" t="inlineStr">
        <is>
          <t>Male</t>
        </is>
      </c>
      <c r="I11" t="n">
        <v>25</v>
      </c>
      <c r="J11" t="inlineStr">
        <is>
          <t>(714) 975-0037</t>
        </is>
      </c>
      <c r="K11" t="inlineStr">
        <is>
          <t>Henrynguyen600@gmail.com</t>
        </is>
      </c>
      <c r="L11" t="inlineStr">
        <is>
          <t>Track &amp; Field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ORN</t>
        </is>
      </c>
      <c r="B12" t="inlineStr">
        <is>
          <t>3623157</t>
        </is>
      </c>
      <c r="C12" t="inlineStr">
        <is>
          <t>79</t>
        </is>
      </c>
      <c r="D12" t="inlineStr">
        <is>
          <t>validated</t>
        </is>
      </c>
      <c r="E12" t="b">
        <v>1</v>
      </c>
      <c r="F12">
        <f>IMAGE("https://chmeetings.blob.core.windows.net/846969/attachments/HzlweDuVSE6PkzH7lPPQ/b05978ca-bb0d-4025-8e8b-e4bcb1a862e7.jpg")</f>
        <v/>
      </c>
      <c r="G12" t="inlineStr">
        <is>
          <t>Ho Johnny</t>
        </is>
      </c>
      <c r="H12" t="inlineStr">
        <is>
          <t>Male</t>
        </is>
      </c>
      <c r="I12" t="n">
        <v>18</v>
      </c>
      <c r="J12" t="inlineStr">
        <is>
          <t>(951) 573-3752</t>
        </is>
      </c>
      <c r="K12" t="inlineStr">
        <is>
          <t>hodoanhongquan2024@gmail.com</t>
        </is>
      </c>
      <c r="L12" t="inlineStr">
        <is>
          <t>Track &amp; Field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ORN</t>
        </is>
      </c>
      <c r="B13" t="inlineStr">
        <is>
          <t>3636312</t>
        </is>
      </c>
      <c r="C13" t="inlineStr">
        <is>
          <t>18</t>
        </is>
      </c>
      <c r="D13" t="inlineStr">
        <is>
          <t>validated</t>
        </is>
      </c>
      <c r="E13" t="b">
        <v>1</v>
      </c>
      <c r="F13">
        <f>IMAGE("https://chmeetings.blob.core.windows.net/846969/attachments/rmWCxWcMEGG5rXmhOlu0w/0885f487-e712-429a-b0e2-a388a96de779.jpg")</f>
        <v/>
      </c>
      <c r="G13" t="inlineStr">
        <is>
          <t>Ho Patrick</t>
        </is>
      </c>
      <c r="H13" t="inlineStr">
        <is>
          <t>Male</t>
        </is>
      </c>
      <c r="I13" t="n">
        <v>20</v>
      </c>
      <c r="J13" t="inlineStr">
        <is>
          <t>(840) 265-5989</t>
        </is>
      </c>
      <c r="K13" t="inlineStr">
        <is>
          <t>quangforwork105@gmail.com</t>
        </is>
      </c>
      <c r="L13" t="inlineStr">
        <is>
          <t>Track &amp; Field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ORN</t>
        </is>
      </c>
      <c r="B14" t="inlineStr">
        <is>
          <t>3635913</t>
        </is>
      </c>
      <c r="C14" t="inlineStr">
        <is>
          <t>17</t>
        </is>
      </c>
      <c r="D14" t="inlineStr">
        <is>
          <t>validated</t>
        </is>
      </c>
      <c r="E14" t="b">
        <v>1</v>
      </c>
      <c r="F14">
        <f>IMAGE("https://chmeetings.blob.core.windows.net/846969/attachments/Mul7jbKbAE29qrSeitsaQ/70858581-18a8-4d38-a34b-36f27970e10b.jpg")</f>
        <v/>
      </c>
      <c r="G14" t="inlineStr">
        <is>
          <t>Le Naomi</t>
        </is>
      </c>
      <c r="H14" t="inlineStr">
        <is>
          <t>Female</t>
        </is>
      </c>
      <c r="I14" t="n">
        <v>18</v>
      </c>
      <c r="J14" t="inlineStr">
        <is>
          <t>(951) 474-9992</t>
        </is>
      </c>
      <c r="K14" t="inlineStr">
        <is>
          <t>naomithienngocle@gmail.com</t>
        </is>
      </c>
      <c r="L14" t="inlineStr">
        <is>
          <t>Track &amp; Field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ORN</t>
        </is>
      </c>
      <c r="B15" t="inlineStr">
        <is>
          <t>3623151</t>
        </is>
      </c>
      <c r="C15" t="inlineStr">
        <is>
          <t>15</t>
        </is>
      </c>
      <c r="D15" t="inlineStr">
        <is>
          <t>validated</t>
        </is>
      </c>
      <c r="E15" t="b">
        <v>1</v>
      </c>
      <c r="F15">
        <f>IMAGE("https://chmeetings.blob.core.windows.net/846969/attachments/z7xCROYqU640Hcj39vXnA/7df9ecde-a535-47b7-b28e-c4595f88700e.jpg")</f>
        <v/>
      </c>
      <c r="G15" t="inlineStr">
        <is>
          <t>Tran Luke</t>
        </is>
      </c>
      <c r="H15" t="inlineStr">
        <is>
          <t>Male</t>
        </is>
      </c>
      <c r="I15" t="n">
        <v>19</v>
      </c>
      <c r="J15" t="inlineStr">
        <is>
          <t>(714) 696-2217</t>
        </is>
      </c>
      <c r="K15" t="inlineStr">
        <is>
          <t>ltttran01@gmail.com</t>
        </is>
      </c>
      <c r="L15" t="inlineStr">
        <is>
          <t>Track &amp; Field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PCC</t>
        </is>
      </c>
      <c r="B16" t="inlineStr">
        <is>
          <t>3615924</t>
        </is>
      </c>
      <c r="C16" t="inlineStr">
        <is>
          <t>96</t>
        </is>
      </c>
      <c r="D16" t="inlineStr">
        <is>
          <t>validated</t>
        </is>
      </c>
      <c r="E16" t="b">
        <v>1</v>
      </c>
      <c r="F16">
        <f>IMAGE("https://chmeetings.blob.core.windows.net/846969/attachments/MZuX3sULm0uE6GUDiZyag/d82bddb5-8dc3-451c-a737-e765849edbe5.jpg")</f>
        <v/>
      </c>
      <c r="G16" t="inlineStr">
        <is>
          <t>Doan Sylas</t>
        </is>
      </c>
      <c r="H16" t="inlineStr">
        <is>
          <t>Male</t>
        </is>
      </c>
      <c r="I16" t="n">
        <v>18</v>
      </c>
      <c r="J16" t="inlineStr">
        <is>
          <t>(619) 897-0626</t>
        </is>
      </c>
      <c r="K16" t="inlineStr">
        <is>
          <t>sylaskdoan@gmail.com</t>
        </is>
      </c>
      <c r="L16" t="inlineStr">
        <is>
          <t>Track &amp; Field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PCC</t>
        </is>
      </c>
      <c r="B17" t="inlineStr">
        <is>
          <t>3615927</t>
        </is>
      </c>
      <c r="C17" t="inlineStr">
        <is>
          <t>102</t>
        </is>
      </c>
      <c r="D17" t="inlineStr">
        <is>
          <t>validated</t>
        </is>
      </c>
      <c r="E17" t="b">
        <v>1</v>
      </c>
      <c r="F17">
        <f>IMAGE("https://chmeetings.blob.core.windows.net/846969/attachments/Zrta8DMWUakk9LacvoTg/f5ca0686-d499-4f36-aaf7-2daa1d8d7752.jpg")</f>
        <v/>
      </c>
      <c r="G17" t="inlineStr">
        <is>
          <t>Huynh Paul</t>
        </is>
      </c>
      <c r="H17" t="inlineStr">
        <is>
          <t>Male</t>
        </is>
      </c>
      <c r="I17" t="n">
        <v>18</v>
      </c>
      <c r="J17" t="inlineStr">
        <is>
          <t>(858) 933-7306</t>
        </is>
      </c>
      <c r="K17" t="inlineStr">
        <is>
          <t>Noodle_storm1@icloud.com</t>
        </is>
      </c>
      <c r="L17" t="inlineStr">
        <is>
          <t>Track &amp; Field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PCC</t>
        </is>
      </c>
      <c r="B18" t="inlineStr">
        <is>
          <t>3610932</t>
        </is>
      </c>
      <c r="C18" t="inlineStr">
        <is>
          <t>99</t>
        </is>
      </c>
      <c r="D18" t="inlineStr">
        <is>
          <t>validated</t>
        </is>
      </c>
      <c r="E18" t="b">
        <v>0</v>
      </c>
      <c r="F18">
        <f>IMAGE("https://chmeetings.blob.core.windows.net/846969/attachments/jSqCYDu6wEGhHmvDctKIw/adebb1ad-5662-4028-b258-23ce1c422218.jpg")</f>
        <v/>
      </c>
      <c r="G18" t="inlineStr">
        <is>
          <t>Lai Jerry</t>
        </is>
      </c>
      <c r="H18" t="inlineStr">
        <is>
          <t>Male</t>
        </is>
      </c>
      <c r="I18" t="n">
        <v>28</v>
      </c>
      <c r="J18" t="inlineStr">
        <is>
          <t>(619) 402-7575</t>
        </is>
      </c>
      <c r="K18" t="inlineStr">
        <is>
          <t>jerry_lai1997@yahoo.com</t>
        </is>
      </c>
      <c r="L18" t="inlineStr">
        <is>
          <t>Track &amp; Field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PCC</t>
        </is>
      </c>
      <c r="B19" t="inlineStr">
        <is>
          <t>3610930</t>
        </is>
      </c>
      <c r="C19" t="inlineStr">
        <is>
          <t>94</t>
        </is>
      </c>
      <c r="D19" t="inlineStr">
        <is>
          <t>pending</t>
        </is>
      </c>
      <c r="E19" t="b">
        <v>1</v>
      </c>
      <c r="F19">
        <f>IMAGE("https://chmeetings.blob.core.windows.net/846969/attachments/0334zPheP0iaYDfGUyBQ2A/484ab1fa-b9eb-4695-9798-897b62cb6b4f.jpg")</f>
        <v/>
      </c>
      <c r="G19" t="inlineStr">
        <is>
          <t>Phan Daisey</t>
        </is>
      </c>
      <c r="H19" t="inlineStr">
        <is>
          <t>Female</t>
        </is>
      </c>
      <c r="I19" t="n">
        <v>16</v>
      </c>
      <c r="J19" t="inlineStr">
        <is>
          <t>(619) 227-8965</t>
        </is>
      </c>
      <c r="K19" t="inlineStr">
        <is>
          <t>daiseyphan441@gmail.com</t>
        </is>
      </c>
      <c r="L19" t="inlineStr">
        <is>
          <t>Track &amp; Field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PCC</t>
        </is>
      </c>
      <c r="B20" t="inlineStr">
        <is>
          <t>3615928</t>
        </is>
      </c>
      <c r="C20" t="inlineStr">
        <is>
          <t>98</t>
        </is>
      </c>
      <c r="D20" t="inlineStr">
        <is>
          <t>pending</t>
        </is>
      </c>
      <c r="E20" t="b">
        <v>1</v>
      </c>
      <c r="F20">
        <f>IMAGE("https://chmeetings.blob.core.windows.net/846969/attachments/yr8GQWRkaMhXEt644AUA/cc58517d-7f6e-43e7-b6eb-9441856782fb.jpg")</f>
        <v/>
      </c>
      <c r="G20" t="inlineStr">
        <is>
          <t>Thach Aimy</t>
        </is>
      </c>
      <c r="H20" t="inlineStr">
        <is>
          <t>Female</t>
        </is>
      </c>
      <c r="I20" t="n">
        <v>0</v>
      </c>
      <c r="J20" t="inlineStr">
        <is>
          <t>(619) 832-2469</t>
        </is>
      </c>
      <c r="K20" t="inlineStr">
        <is>
          <t>aimythach2008@gmail.com</t>
        </is>
      </c>
      <c r="L20" t="inlineStr">
        <is>
          <t>Track &amp; Field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RPC</t>
        </is>
      </c>
      <c r="B21" t="inlineStr">
        <is>
          <t>3628891</t>
        </is>
      </c>
      <c r="C21" t="inlineStr">
        <is>
          <t>70</t>
        </is>
      </c>
      <c r="D21" t="inlineStr">
        <is>
          <t>pending</t>
        </is>
      </c>
      <c r="E21" t="b">
        <v>1</v>
      </c>
      <c r="F21">
        <f>IMAGE("https://chmeetings.blob.core.windows.net/846969/attachments/qYsqyoFUWkOaQb5QUBES6g/603d1093-8a12-4fff-ab36-9128541811d0.jpg")</f>
        <v/>
      </c>
      <c r="G21" t="inlineStr">
        <is>
          <t>Le Aneesa</t>
        </is>
      </c>
      <c r="H21" t="inlineStr">
        <is>
          <t>Female</t>
        </is>
      </c>
      <c r="I21" t="n">
        <v>15</v>
      </c>
      <c r="J21" t="inlineStr">
        <is>
          <t>(562) 350-8879</t>
        </is>
      </c>
      <c r="K21" t="inlineStr">
        <is>
          <t>k10ale27@gmail.com</t>
        </is>
      </c>
      <c r="L21" t="inlineStr">
        <is>
          <t>Track &amp; Field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  <row r="22">
      <c r="A22" t="inlineStr">
        <is>
          <t>RPC</t>
        </is>
      </c>
      <c r="B22" t="inlineStr">
        <is>
          <t>3618796</t>
        </is>
      </c>
      <c r="C22" t="inlineStr">
        <is>
          <t>7</t>
        </is>
      </c>
      <c r="D22" t="inlineStr">
        <is>
          <t>pending</t>
        </is>
      </c>
      <c r="E22" t="b">
        <v>1</v>
      </c>
      <c r="F22">
        <f>IMAGE("https://chmeetings.blob.core.windows.net/846969/attachments/6phgsjmFklfKzzU3ErQ/5e007272-27f7-4f8f-a466-456aac4cdea1.jpg")</f>
        <v/>
      </c>
      <c r="G22" t="inlineStr">
        <is>
          <t>Le Jacob</t>
        </is>
      </c>
      <c r="H22" t="inlineStr">
        <is>
          <t>Male</t>
        </is>
      </c>
      <c r="I22" t="n">
        <v>16</v>
      </c>
      <c r="J22" t="inlineStr">
        <is>
          <t>(714) 316-9141</t>
        </is>
      </c>
      <c r="K22" t="inlineStr">
        <is>
          <t>jacob.mle21@gmail.com</t>
        </is>
      </c>
      <c r="L22" t="inlineStr">
        <is>
          <t>Track &amp; Field</t>
        </is>
      </c>
      <c r="M22" t="inlineStr">
        <is>
          <t>Mixed</t>
        </is>
      </c>
      <c r="N22" t="inlineStr">
        <is>
          <t>Team</t>
        </is>
      </c>
      <c r="O22" t="inlineStr"/>
      <c r="P22" t="inlineStr"/>
    </row>
    <row r="23">
      <c r="A23" t="inlineStr">
        <is>
          <t>RPC</t>
        </is>
      </c>
      <c r="B23" t="inlineStr">
        <is>
          <t>3318927</t>
        </is>
      </c>
      <c r="C23" t="inlineStr">
        <is>
          <t>2</t>
        </is>
      </c>
      <c r="D23" t="inlineStr">
        <is>
          <t>pending_approval</t>
        </is>
      </c>
      <c r="E23" t="b">
        <v>1</v>
      </c>
      <c r="F23">
        <f>IMAGE("https://chmeetings.blob.core.windows.net/846969/attachments/Uf6oqihlIUGVO0UxdqT5Ow/6463a74d-f560-4dd7-950a-48411d288e1b.jpg")</f>
        <v/>
      </c>
      <c r="G23" t="inlineStr">
        <is>
          <t>Le Sam</t>
        </is>
      </c>
      <c r="H23" t="inlineStr">
        <is>
          <t>Male</t>
        </is>
      </c>
      <c r="I23" t="n">
        <v>32</v>
      </c>
      <c r="J23" t="inlineStr">
        <is>
          <t>(562) 519-9430</t>
        </is>
      </c>
      <c r="K23" t="inlineStr">
        <is>
          <t>samuel93le@yahoo.com</t>
        </is>
      </c>
      <c r="L23" t="inlineStr">
        <is>
          <t>Track &amp; Field</t>
        </is>
      </c>
      <c r="M23" t="inlineStr">
        <is>
          <t>Mixed</t>
        </is>
      </c>
      <c r="N23" t="inlineStr">
        <is>
          <t>Team</t>
        </is>
      </c>
      <c r="O23" t="inlineStr"/>
      <c r="P23" t="inlineStr"/>
    </row>
    <row r="24">
      <c r="A24" t="inlineStr">
        <is>
          <t>RPC</t>
        </is>
      </c>
      <c r="B24" t="inlineStr">
        <is>
          <t>3318764</t>
        </is>
      </c>
      <c r="C24" t="inlineStr">
        <is>
          <t>9</t>
        </is>
      </c>
      <c r="D24" t="inlineStr">
        <is>
          <t>pending_approval</t>
        </is>
      </c>
      <c r="E24" t="b">
        <v>1</v>
      </c>
      <c r="F24">
        <f>IMAGE("https://chmeetings.blob.core.windows.net/846969/attachments/DoMq9dPmUUu8Q1z673WgQ/e87ffaee-015f-4989-96f9-da9736b2ff43.jpg")</f>
        <v/>
      </c>
      <c r="G24" t="inlineStr">
        <is>
          <t>Nguyen Johnny</t>
        </is>
      </c>
      <c r="H24" t="inlineStr">
        <is>
          <t>Male</t>
        </is>
      </c>
      <c r="I24" t="n">
        <v>17</v>
      </c>
      <c r="J24" t="inlineStr">
        <is>
          <t>(714) 585-4961</t>
        </is>
      </c>
      <c r="K24" t="inlineStr">
        <is>
          <t>junnynewinn@gmail.com</t>
        </is>
      </c>
      <c r="L24" t="inlineStr">
        <is>
          <t>Track &amp; Field</t>
        </is>
      </c>
      <c r="M24" t="inlineStr">
        <is>
          <t>Mixed</t>
        </is>
      </c>
      <c r="N24" t="inlineStr">
        <is>
          <t>Team</t>
        </is>
      </c>
      <c r="O24" t="inlineStr"/>
      <c r="P24" t="inlineStr"/>
    </row>
    <row r="25">
      <c r="A25" t="inlineStr">
        <is>
          <t>SDC</t>
        </is>
      </c>
      <c r="B25" t="inlineStr">
        <is>
          <t>3635885</t>
        </is>
      </c>
      <c r="C25" t="inlineStr">
        <is>
          <t>84</t>
        </is>
      </c>
      <c r="D25" t="inlineStr">
        <is>
          <t>validated</t>
        </is>
      </c>
      <c r="E25" t="b">
        <v>1</v>
      </c>
      <c r="F25">
        <f>IMAGE("https://chmeetings.blob.core.windows.net/846969/attachments/r1jarmgNdU2vRI9LrvQIug/afb53597-c751-4247-a104-a4129b1f39e6.jpg")</f>
        <v/>
      </c>
      <c r="G25" t="inlineStr">
        <is>
          <t>Nguyen Nathan</t>
        </is>
      </c>
      <c r="H25" t="inlineStr">
        <is>
          <t>Male</t>
        </is>
      </c>
      <c r="I25" t="n">
        <v>18</v>
      </c>
      <c r="J25" t="inlineStr">
        <is>
          <t>(619) 218-6042</t>
        </is>
      </c>
      <c r="K25" t="inlineStr">
        <is>
          <t>nathan.cv.nguyen@gmail.com</t>
        </is>
      </c>
      <c r="L25" t="inlineStr">
        <is>
          <t>Track &amp; Field</t>
        </is>
      </c>
      <c r="M25" t="inlineStr">
        <is>
          <t>Mixed</t>
        </is>
      </c>
      <c r="N25" t="inlineStr">
        <is>
          <t>Team</t>
        </is>
      </c>
      <c r="O25" t="inlineStr"/>
      <c r="P25" t="inlineStr"/>
    </row>
    <row r="26">
      <c r="A26" t="inlineStr">
        <is>
          <t>TLC</t>
        </is>
      </c>
      <c r="B26" t="inlineStr">
        <is>
          <t>3562839</t>
        </is>
      </c>
      <c r="C26" t="inlineStr">
        <is>
          <t>31</t>
        </is>
      </c>
      <c r="D26" t="inlineStr">
        <is>
          <t>pending_approval</t>
        </is>
      </c>
      <c r="E26" t="b">
        <v>1</v>
      </c>
      <c r="F26">
        <f>IMAGE("https://chmeetings.blob.core.windows.net/846969/attachments/YGg8n4kfIE6Jo6c8Uj0LMQ/267c68c0-1843-43e2-93a4-f5c795fb5c3f.jpg")</f>
        <v/>
      </c>
      <c r="G26" t="inlineStr">
        <is>
          <t>Le Shawn</t>
        </is>
      </c>
      <c r="H26" t="inlineStr">
        <is>
          <t>Male</t>
        </is>
      </c>
      <c r="I26" t="n">
        <v>28</v>
      </c>
      <c r="J26" t="inlineStr">
        <is>
          <t>(949) 416-8033</t>
        </is>
      </c>
      <c r="K26" t="inlineStr">
        <is>
          <t>shawn.le@thanhlechurch.com</t>
        </is>
      </c>
      <c r="L26" t="inlineStr">
        <is>
          <t>Track &amp; Field</t>
        </is>
      </c>
      <c r="M26" t="inlineStr">
        <is>
          <t>Mixed</t>
        </is>
      </c>
      <c r="N26" t="inlineStr">
        <is>
          <t>Team</t>
        </is>
      </c>
      <c r="O26" t="inlineStr"/>
      <c r="P26" t="inlineStr"/>
    </row>
    <row r="27">
      <c r="A27" t="inlineStr">
        <is>
          <t>WCC</t>
        </is>
      </c>
      <c r="B27" t="inlineStr">
        <is>
          <t>3615931</t>
        </is>
      </c>
      <c r="C27" t="inlineStr">
        <is>
          <t>133</t>
        </is>
      </c>
      <c r="D27" t="inlineStr">
        <is>
          <t>validated</t>
        </is>
      </c>
      <c r="E27" t="b">
        <v>1</v>
      </c>
      <c r="F27">
        <f>IMAGE("https://chmeetings.blob.core.windows.net/846969/attachments/NU7Pn1JdZUSPERudexN2Yg/147a78db-c0fe-4261-8790-cce83b01ea97.jpg")</f>
        <v/>
      </c>
      <c r="G27" t="inlineStr">
        <is>
          <t>Pham Eric</t>
        </is>
      </c>
      <c r="H27" t="inlineStr">
        <is>
          <t>Male</t>
        </is>
      </c>
      <c r="I27" t="n">
        <v>24</v>
      </c>
      <c r="J27" t="inlineStr">
        <is>
          <t>(714) 880-5384</t>
        </is>
      </c>
      <c r="K27" t="inlineStr">
        <is>
          <t>erc.pham@gmail.com</t>
        </is>
      </c>
      <c r="L27" t="inlineStr">
        <is>
          <t>Track &amp; Field</t>
        </is>
      </c>
      <c r="M27" t="inlineStr">
        <is>
          <t>Mixed</t>
        </is>
      </c>
      <c r="N27" t="inlineStr">
        <is>
          <t>Team</t>
        </is>
      </c>
      <c r="O27" t="inlineStr"/>
      <c r="P27" t="inlineStr"/>
    </row>
  </sheetData>
  <autoFilter ref="A1:P2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7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3570850</t>
        </is>
      </c>
      <c r="C2" t="inlineStr">
        <is>
          <t>88</t>
        </is>
      </c>
      <c r="D2" t="inlineStr">
        <is>
          <t>validated</t>
        </is>
      </c>
      <c r="E2" t="b">
        <v>1</v>
      </c>
      <c r="F2">
        <f>IMAGE("https://chmeetings.blob.core.windows.net/846969/attachments/STk7BLcuJEeK4Qn3rPRDdQ/d71fc857-c95a-4dee-91ac-81954f0a44d0.jpg")</f>
        <v/>
      </c>
      <c r="G2" t="inlineStr">
        <is>
          <t>Dang Haniel</t>
        </is>
      </c>
      <c r="H2" t="inlineStr">
        <is>
          <t>Male</t>
        </is>
      </c>
      <c r="I2" t="n">
        <v>23</v>
      </c>
      <c r="J2" t="inlineStr">
        <is>
          <t>(714) 757-3069</t>
        </is>
      </c>
      <c r="K2" t="inlineStr">
        <is>
          <t>lobsterboi3.hd@gmail.com</t>
        </is>
      </c>
      <c r="L2" t="inlineStr">
        <is>
          <t>Volleyball</t>
        </is>
      </c>
      <c r="M2" t="inlineStr">
        <is>
          <t>Men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3610876</t>
        </is>
      </c>
      <c r="C3" t="inlineStr">
        <is>
          <t>63</t>
        </is>
      </c>
      <c r="D3" t="inlineStr">
        <is>
          <t>validated</t>
        </is>
      </c>
      <c r="E3" t="b">
        <v>1</v>
      </c>
      <c r="F3">
        <f>IMAGE("https://chmeetings.blob.core.windows.net/846969/attachments/n1Hofh79IUm5BWBzi2R7Q/8fe13634-0662-46ec-bdb6-4b8b957d6ee6.jpg")</f>
        <v/>
      </c>
      <c r="G3" t="inlineStr">
        <is>
          <t>Kadowaki Christian</t>
        </is>
      </c>
      <c r="H3" t="inlineStr">
        <is>
          <t>Male</t>
        </is>
      </c>
      <c r="I3" t="n">
        <v>25</v>
      </c>
      <c r="J3" t="inlineStr">
        <is>
          <t>(714) 916-8835</t>
        </is>
      </c>
      <c r="K3" t="inlineStr">
        <is>
          <t>Christian.kadowaki@gmail.com</t>
        </is>
      </c>
      <c r="L3" t="inlineStr">
        <is>
          <t>Volleyball</t>
        </is>
      </c>
      <c r="M3" t="inlineStr">
        <is>
          <t>Men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3627369</t>
        </is>
      </c>
      <c r="C4" t="inlineStr">
        <is>
          <t>123</t>
        </is>
      </c>
      <c r="D4" t="inlineStr">
        <is>
          <t>validated</t>
        </is>
      </c>
      <c r="E4" t="b">
        <v>1</v>
      </c>
      <c r="F4">
        <f>IMAGE("https://chmeetings.blob.core.windows.net/846969/attachments/t481xJpLEm6DJ1S3KMOw/c689801f-da1e-4bd9-93e3-e81c0fd45646.jpg")</f>
        <v/>
      </c>
      <c r="G4" t="inlineStr">
        <is>
          <t>Ly Andrew</t>
        </is>
      </c>
      <c r="H4" t="inlineStr">
        <is>
          <t>Male</t>
        </is>
      </c>
      <c r="I4" t="n">
        <v>22</v>
      </c>
      <c r="J4" t="inlineStr">
        <is>
          <t>(818) 818-2168</t>
        </is>
      </c>
      <c r="K4" t="inlineStr">
        <is>
          <t>andrewbenjily@gmail.com</t>
        </is>
      </c>
      <c r="L4" t="inlineStr">
        <is>
          <t>Volleyball</t>
        </is>
      </c>
      <c r="M4" t="inlineStr">
        <is>
          <t>Men</t>
        </is>
      </c>
      <c r="N4" t="inlineStr">
        <is>
          <t>Team</t>
        </is>
      </c>
      <c r="O4" t="inlineStr"/>
      <c r="P4" t="inlineStr"/>
    </row>
    <row r="5">
      <c r="A5" t="inlineStr">
        <is>
          <t>FVC</t>
        </is>
      </c>
      <c r="B5" t="inlineStr">
        <is>
          <t>3632512</t>
        </is>
      </c>
      <c r="C5" t="inlineStr">
        <is>
          <t>124</t>
        </is>
      </c>
      <c r="D5" t="inlineStr">
        <is>
          <t>validated</t>
        </is>
      </c>
      <c r="E5" t="b">
        <v>1</v>
      </c>
      <c r="F5">
        <f>IMAGE("https://chmeetings.blob.core.windows.net/846969/attachments/GgPuAWUyd0CYczyLH9zVPA/3e25232f-7533-4819-8952-60c539b8dcfc.jpg")</f>
        <v/>
      </c>
      <c r="G5" t="inlineStr">
        <is>
          <t>Ly Benjamin</t>
        </is>
      </c>
      <c r="H5" t="inlineStr">
        <is>
          <t>Male</t>
        </is>
      </c>
      <c r="I5" t="n">
        <v>19</v>
      </c>
      <c r="J5" t="inlineStr">
        <is>
          <t>(818) 818-0156</t>
        </is>
      </c>
      <c r="K5" t="inlineStr">
        <is>
          <t>benjaminandrewly@gmail.com</t>
        </is>
      </c>
      <c r="L5" t="inlineStr">
        <is>
          <t>Volleyball</t>
        </is>
      </c>
      <c r="M5" t="inlineStr">
        <is>
          <t>Men</t>
        </is>
      </c>
      <c r="N5" t="inlineStr">
        <is>
          <t>Team</t>
        </is>
      </c>
      <c r="O5" t="inlineStr"/>
      <c r="P5" t="inlineStr"/>
    </row>
    <row r="6">
      <c r="A6" t="inlineStr">
        <is>
          <t>FVC</t>
        </is>
      </c>
      <c r="B6" t="inlineStr">
        <is>
          <t>3624648</t>
        </is>
      </c>
      <c r="C6" t="inlineStr">
        <is>
          <t>127</t>
        </is>
      </c>
      <c r="D6" t="inlineStr">
        <is>
          <t>validated</t>
        </is>
      </c>
      <c r="E6" t="b">
        <v>1</v>
      </c>
      <c r="F6">
        <f>IMAGE("https://chmeetings.blob.core.windows.net/846969/attachments/qj11d0mfBkIH30v4IwKQ/8cb9a967-e055-467f-a161-492dfc732b2c.jpg")</f>
        <v/>
      </c>
      <c r="G6" t="inlineStr">
        <is>
          <t>Nguyen Justin</t>
        </is>
      </c>
      <c r="H6" t="inlineStr">
        <is>
          <t>Male</t>
        </is>
      </c>
      <c r="I6" t="n">
        <v>23</v>
      </c>
      <c r="J6" t="inlineStr">
        <is>
          <t>(951) 496-9385</t>
        </is>
      </c>
      <c r="K6" t="inlineStr">
        <is>
          <t>justinqnguyen3@gmail.com</t>
        </is>
      </c>
      <c r="L6" t="inlineStr">
        <is>
          <t>Volleyball</t>
        </is>
      </c>
      <c r="M6" t="inlineStr">
        <is>
          <t>Men</t>
        </is>
      </c>
      <c r="N6" t="inlineStr">
        <is>
          <t>Team</t>
        </is>
      </c>
      <c r="O6" t="inlineStr"/>
      <c r="P6" t="inlineStr"/>
    </row>
    <row r="7">
      <c r="A7" t="inlineStr">
        <is>
          <t>FVC</t>
        </is>
      </c>
      <c r="B7" t="inlineStr">
        <is>
          <t>3631514</t>
        </is>
      </c>
      <c r="C7" t="inlineStr">
        <is>
          <t>126</t>
        </is>
      </c>
      <c r="D7" t="inlineStr">
        <is>
          <t>validated</t>
        </is>
      </c>
      <c r="E7" t="b">
        <v>1</v>
      </c>
      <c r="F7">
        <f>IMAGE("https://chmeetings.blob.core.windows.net/846969/attachments/HXcI779CL0aJOqFhGcSWLA/23e4d46f-117e-46f1-82af-bf51c169d43b.jpg")</f>
        <v/>
      </c>
      <c r="G7" t="inlineStr">
        <is>
          <t>Pham Evan</t>
        </is>
      </c>
      <c r="H7" t="inlineStr">
        <is>
          <t>Male</t>
        </is>
      </c>
      <c r="I7" t="n">
        <v>19</v>
      </c>
      <c r="J7" t="inlineStr">
        <is>
          <t>(714) 657-5917</t>
        </is>
      </c>
      <c r="K7" t="inlineStr">
        <is>
          <t>evanjpham@gmail.com</t>
        </is>
      </c>
      <c r="L7" t="inlineStr">
        <is>
          <t>Volleyball</t>
        </is>
      </c>
      <c r="M7" t="inlineStr">
        <is>
          <t>Men</t>
        </is>
      </c>
      <c r="N7" t="inlineStr">
        <is>
          <t>Team</t>
        </is>
      </c>
      <c r="O7" t="inlineStr"/>
      <c r="P7" t="inlineStr"/>
    </row>
    <row r="8">
      <c r="A8" t="inlineStr">
        <is>
          <t>FVC</t>
        </is>
      </c>
      <c r="B8" t="inlineStr">
        <is>
          <t>3635284</t>
        </is>
      </c>
      <c r="C8" t="inlineStr">
        <is>
          <t>62</t>
        </is>
      </c>
      <c r="D8" t="inlineStr">
        <is>
          <t>validated</t>
        </is>
      </c>
      <c r="E8" t="b">
        <v>1</v>
      </c>
      <c r="F8">
        <f>IMAGE("https://chmeetings.blob.core.windows.net/846969/attachments/LFoY7ApFX0iK7b8bAJ9IQ/5c24585e-77d3-4091-92bd-281bb4879e90.jpg")</f>
        <v/>
      </c>
      <c r="G8" t="inlineStr">
        <is>
          <t>Vo Boi Boi</t>
        </is>
      </c>
      <c r="H8" t="inlineStr">
        <is>
          <t>Male</t>
        </is>
      </c>
      <c r="I8" t="n">
        <v>19</v>
      </c>
      <c r="J8" t="inlineStr">
        <is>
          <t>(657) 340-9539</t>
        </is>
      </c>
      <c r="K8" t="inlineStr">
        <is>
          <t>Boiiboivo@gmail.com</t>
        </is>
      </c>
      <c r="L8" t="inlineStr">
        <is>
          <t>Volleyball</t>
        </is>
      </c>
      <c r="M8" t="inlineStr">
        <is>
          <t>Men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3618803</t>
        </is>
      </c>
      <c r="C9" t="inlineStr">
        <is>
          <t>47</t>
        </is>
      </c>
      <c r="D9" t="inlineStr">
        <is>
          <t>validated</t>
        </is>
      </c>
      <c r="E9" t="b">
        <v>1</v>
      </c>
      <c r="F9">
        <f>IMAGE("https://chmeetings.blob.core.windows.net/846969/attachments/8RaR3P2EW0W4gXH4RYhbTA/5ceea1d8-d408-4951-80f1-990d0318e7f1.jpg")</f>
        <v/>
      </c>
      <c r="G9" t="inlineStr">
        <is>
          <t>Chau Brendan</t>
        </is>
      </c>
      <c r="H9" t="inlineStr">
        <is>
          <t>Male</t>
        </is>
      </c>
      <c r="I9" t="n">
        <v>28</v>
      </c>
      <c r="J9" t="inlineStr">
        <is>
          <t>(408) 781-6867</t>
        </is>
      </c>
      <c r="K9" t="inlineStr">
        <is>
          <t>bvanchau35@gmail.com</t>
        </is>
      </c>
      <c r="L9" t="inlineStr">
        <is>
          <t>Volleyball</t>
        </is>
      </c>
      <c r="M9" t="inlineStr">
        <is>
          <t>Men</t>
        </is>
      </c>
      <c r="N9" t="inlineStr">
        <is>
          <t>Team</t>
        </is>
      </c>
      <c r="O9" t="inlineStr"/>
      <c r="P9" t="inlineStr"/>
    </row>
    <row r="10">
      <c r="A10" t="inlineStr">
        <is>
          <t>GAC</t>
        </is>
      </c>
      <c r="B10" t="inlineStr">
        <is>
          <t>3610923</t>
        </is>
      </c>
      <c r="C10" t="inlineStr">
        <is>
          <t>44</t>
        </is>
      </c>
      <c r="D10" t="inlineStr">
        <is>
          <t>validated</t>
        </is>
      </c>
      <c r="E10" t="b">
        <v>1</v>
      </c>
      <c r="F10">
        <f>IMAGE("https://chmeetings.blob.core.windows.net/846969/attachments/AJjEeJ7FkyqVeAXFVXrlg/66768031-3472-431a-97e3-c4999286e61d.jpg")</f>
        <v/>
      </c>
      <c r="G10" t="inlineStr">
        <is>
          <t>Huynh Alexander</t>
        </is>
      </c>
      <c r="H10" t="inlineStr">
        <is>
          <t>Male</t>
        </is>
      </c>
      <c r="I10" t="n">
        <v>18</v>
      </c>
      <c r="J10" t="inlineStr">
        <is>
          <t>(510) 316-6941</t>
        </is>
      </c>
      <c r="K10" t="inlineStr">
        <is>
          <t>Evanassist@gmail.com</t>
        </is>
      </c>
      <c r="L10" t="inlineStr">
        <is>
          <t>Volleyball</t>
        </is>
      </c>
      <c r="M10" t="inlineStr">
        <is>
          <t>Men</t>
        </is>
      </c>
      <c r="N10" t="inlineStr">
        <is>
          <t>Team</t>
        </is>
      </c>
      <c r="O10" t="inlineStr"/>
      <c r="P10" t="inlineStr"/>
    </row>
    <row r="11">
      <c r="A11" t="inlineStr">
        <is>
          <t>GAC</t>
        </is>
      </c>
      <c r="B11" t="inlineStr">
        <is>
          <t>3623145</t>
        </is>
      </c>
      <c r="C11" t="inlineStr">
        <is>
          <t>49</t>
        </is>
      </c>
      <c r="D11" t="inlineStr">
        <is>
          <t>pending</t>
        </is>
      </c>
      <c r="E11" t="b">
        <v>1</v>
      </c>
      <c r="F11">
        <f>IMAGE("https://chmeetings.blob.core.windows.net/846969/attachments/0thvFv8nzUSwHPFCj8rLmw/70d3cc8f-121f-41dd-afb3-47222f355027.jpg")</f>
        <v/>
      </c>
      <c r="G11" t="inlineStr">
        <is>
          <t>Nguyen Elijah</t>
        </is>
      </c>
      <c r="H11" t="inlineStr">
        <is>
          <t>Male</t>
        </is>
      </c>
      <c r="I11" t="n">
        <v>14</v>
      </c>
      <c r="J11" t="inlineStr">
        <is>
          <t>(408) 772-9825</t>
        </is>
      </c>
      <c r="K11" t="inlineStr">
        <is>
          <t>write2phuong2020@gmail.com</t>
        </is>
      </c>
      <c r="L11" t="inlineStr">
        <is>
          <t>Volleyball</t>
        </is>
      </c>
      <c r="M11" t="inlineStr">
        <is>
          <t>Men</t>
        </is>
      </c>
      <c r="N11" t="inlineStr">
        <is>
          <t>Team</t>
        </is>
      </c>
      <c r="O11" t="inlineStr"/>
      <c r="P11" t="inlineStr"/>
    </row>
    <row r="12">
      <c r="A12" t="inlineStr">
        <is>
          <t>GAC</t>
        </is>
      </c>
      <c r="B12" t="inlineStr">
        <is>
          <t>4361937</t>
        </is>
      </c>
      <c r="C12" t="inlineStr">
        <is>
          <t>52</t>
        </is>
      </c>
      <c r="D12" t="inlineStr">
        <is>
          <t>pending</t>
        </is>
      </c>
      <c r="E12" t="b">
        <v>1</v>
      </c>
      <c r="F12">
        <f>IMAGE("https://chmeetings.blob.core.windows.net/846969/attachments/5Nf9EulpAEWOHqW7O8qfHw/1fee0c8c-28e9-4436-82ae-c417b47471af.jpg")</f>
        <v/>
      </c>
      <c r="G12" t="inlineStr">
        <is>
          <t>Nguyen Isaiah</t>
        </is>
      </c>
      <c r="H12" t="inlineStr">
        <is>
          <t>Male</t>
        </is>
      </c>
      <c r="I12" t="n">
        <v>12</v>
      </c>
      <c r="J12" t="inlineStr">
        <is>
          <t>(408) 772-9825</t>
        </is>
      </c>
      <c r="K12" t="inlineStr">
        <is>
          <t>Phuongluu22@yahoo.com</t>
        </is>
      </c>
      <c r="L12" t="inlineStr">
        <is>
          <t>Volleyball</t>
        </is>
      </c>
      <c r="M12" t="inlineStr">
        <is>
          <t>Men</t>
        </is>
      </c>
      <c r="N12" t="inlineStr">
        <is>
          <t>Team</t>
        </is>
      </c>
      <c r="O12" t="inlineStr"/>
      <c r="P12" t="inlineStr"/>
    </row>
    <row r="13">
      <c r="A13" t="inlineStr">
        <is>
          <t>GAC</t>
        </is>
      </c>
      <c r="B13" t="inlineStr">
        <is>
          <t>3636819</t>
        </is>
      </c>
      <c r="C13" t="inlineStr">
        <is>
          <t>53</t>
        </is>
      </c>
      <c r="D13" t="inlineStr">
        <is>
          <t>validated</t>
        </is>
      </c>
      <c r="E13" t="b">
        <v>1</v>
      </c>
      <c r="F13">
        <f>IMAGE("https://chmeetings.blob.core.windows.net/846969/attachments/2EMW7UJtRk6APQ4qdfqDcA/cae1b6ba-c323-4927-8239-f131801812c4.jpg")</f>
        <v/>
      </c>
      <c r="G13" t="inlineStr">
        <is>
          <t>OConnor Jeremy</t>
        </is>
      </c>
      <c r="H13" t="inlineStr">
        <is>
          <t>Male</t>
        </is>
      </c>
      <c r="I13" t="n">
        <v>28</v>
      </c>
      <c r="J13" t="inlineStr">
        <is>
          <t>(408) 728-2130</t>
        </is>
      </c>
      <c r="K13" t="inlineStr">
        <is>
          <t>jeremyoc241@gmail.com</t>
        </is>
      </c>
      <c r="L13" t="inlineStr">
        <is>
          <t>Volleyball</t>
        </is>
      </c>
      <c r="M13" t="inlineStr">
        <is>
          <t>Men</t>
        </is>
      </c>
      <c r="N13" t="inlineStr">
        <is>
          <t>Team</t>
        </is>
      </c>
      <c r="O13" t="inlineStr"/>
      <c r="P13" t="inlineStr"/>
    </row>
    <row r="14">
      <c r="A14" t="inlineStr">
        <is>
          <t>GAC</t>
        </is>
      </c>
      <c r="B14" t="inlineStr">
        <is>
          <t>3610919</t>
        </is>
      </c>
      <c r="C14" t="inlineStr">
        <is>
          <t>60</t>
        </is>
      </c>
      <c r="D14" t="inlineStr">
        <is>
          <t>pending</t>
        </is>
      </c>
      <c r="E14" t="b">
        <v>1</v>
      </c>
      <c r="F14">
        <f>IMAGE("https://chmeetings.blob.core.windows.net/846969/attachments/5eKHOYUtGk6OW2Yv9KYF7Q/38b6a312-42c2-45d1-bf6e-ff86f4ceeca3.jpg")</f>
        <v/>
      </c>
      <c r="G14" t="inlineStr">
        <is>
          <t>Vo Noah</t>
        </is>
      </c>
      <c r="H14" t="inlineStr">
        <is>
          <t>Male</t>
        </is>
      </c>
      <c r="I14" t="n">
        <v>16</v>
      </c>
      <c r="J14" t="inlineStr">
        <is>
          <t>(510) 605-8983</t>
        </is>
      </c>
      <c r="K14" t="inlineStr">
        <is>
          <t>noahhappysmiles@gmail.com</t>
        </is>
      </c>
      <c r="L14" t="inlineStr">
        <is>
          <t>Volleyball</t>
        </is>
      </c>
      <c r="M14" t="inlineStr">
        <is>
          <t>Men</t>
        </is>
      </c>
      <c r="N14" t="inlineStr">
        <is>
          <t>Team</t>
        </is>
      </c>
      <c r="O14" t="inlineStr"/>
      <c r="P14" t="inlineStr"/>
    </row>
    <row r="15">
      <c r="A15" t="inlineStr">
        <is>
          <t>GLA</t>
        </is>
      </c>
      <c r="B15" t="inlineStr">
        <is>
          <t>3629646</t>
        </is>
      </c>
      <c r="C15" t="inlineStr">
        <is>
          <t>41</t>
        </is>
      </c>
      <c r="D15" t="inlineStr">
        <is>
          <t>pending</t>
        </is>
      </c>
      <c r="E15" t="b">
        <v>1</v>
      </c>
      <c r="F15">
        <f>IMAGE("https://chmeetings.blob.core.windows.net/846969/attachments/WfQk1w0b0O76DBIEeFaag/f6059547-2901-4815-b55d-66de1acd7f37.jpg")</f>
        <v/>
      </c>
      <c r="G15" t="inlineStr">
        <is>
          <t>Le Timothy</t>
        </is>
      </c>
      <c r="H15" t="inlineStr">
        <is>
          <t>Male</t>
        </is>
      </c>
      <c r="I15" t="n">
        <v>14</v>
      </c>
      <c r="J15" t="inlineStr">
        <is>
          <t>(747) 236-9493</t>
        </is>
      </c>
      <c r="K15" t="inlineStr">
        <is>
          <t>tle0168@mymail.lausd.net</t>
        </is>
      </c>
      <c r="L15" t="inlineStr">
        <is>
          <t>Volleyball</t>
        </is>
      </c>
      <c r="M15" t="inlineStr">
        <is>
          <t>Men</t>
        </is>
      </c>
      <c r="N15" t="inlineStr">
        <is>
          <t>Team</t>
        </is>
      </c>
      <c r="O15" t="inlineStr"/>
      <c r="P15" t="inlineStr"/>
    </row>
    <row r="16">
      <c r="A16" t="inlineStr">
        <is>
          <t>GLA</t>
        </is>
      </c>
      <c r="B16" t="inlineStr">
        <is>
          <t>3570848</t>
        </is>
      </c>
      <c r="C16" t="inlineStr">
        <is>
          <t>90</t>
        </is>
      </c>
      <c r="D16" t="inlineStr">
        <is>
          <t>pending_approval</t>
        </is>
      </c>
      <c r="E16" t="b">
        <v>1</v>
      </c>
      <c r="F16">
        <f>IMAGE("https://chmeetings.blob.core.windows.net/846969/attachments/9nPE07rppUmkSggzO9ESg/47d06526-4fa5-4234-9c13-94ab1e6ca296.jpg")</f>
        <v/>
      </c>
      <c r="G16" t="inlineStr">
        <is>
          <t>Miciano Edwin Joshua</t>
        </is>
      </c>
      <c r="H16" t="inlineStr">
        <is>
          <t>Male</t>
        </is>
      </c>
      <c r="I16" t="n">
        <v>25</v>
      </c>
      <c r="J16" t="inlineStr">
        <is>
          <t>(818) 572-5802</t>
        </is>
      </c>
      <c r="K16" t="inlineStr">
        <is>
          <t>ejomiciano@gmail.com</t>
        </is>
      </c>
      <c r="L16" t="inlineStr">
        <is>
          <t>Volleyball</t>
        </is>
      </c>
      <c r="M16" t="inlineStr">
        <is>
          <t>Men</t>
        </is>
      </c>
      <c r="N16" t="inlineStr">
        <is>
          <t>Team</t>
        </is>
      </c>
      <c r="O16" t="inlineStr"/>
      <c r="P16" t="inlineStr"/>
    </row>
    <row r="17">
      <c r="A17" t="inlineStr">
        <is>
          <t>GLA</t>
        </is>
      </c>
      <c r="B17" t="inlineStr">
        <is>
          <t>3615945</t>
        </is>
      </c>
      <c r="C17" t="inlineStr">
        <is>
          <t>38</t>
        </is>
      </c>
      <c r="D17" t="inlineStr">
        <is>
          <t>pending</t>
        </is>
      </c>
      <c r="E17" t="b">
        <v>1</v>
      </c>
      <c r="F17">
        <f>IMAGE("https://chmeetings.blob.core.windows.net/846969/attachments/m8ZIG9l0q0SQqgX5gZgIiw/bfdaebb3-efb9-4138-83ee-93fa773220cd.jpg")</f>
        <v/>
      </c>
      <c r="G17" t="inlineStr">
        <is>
          <t>Nguyen Noah</t>
        </is>
      </c>
      <c r="H17" t="inlineStr">
        <is>
          <t>Male</t>
        </is>
      </c>
      <c r="I17" t="n">
        <v>16</v>
      </c>
      <c r="J17" t="inlineStr">
        <is>
          <t>(818) 471-6453</t>
        </is>
      </c>
      <c r="K17" t="inlineStr">
        <is>
          <t>nnguyen0063@mymail.lausd.net</t>
        </is>
      </c>
      <c r="L17" t="inlineStr">
        <is>
          <t>Volleyball</t>
        </is>
      </c>
      <c r="M17" t="inlineStr">
        <is>
          <t>Men</t>
        </is>
      </c>
      <c r="N17" t="inlineStr">
        <is>
          <t>Team</t>
        </is>
      </c>
      <c r="O17" t="inlineStr"/>
      <c r="P17" t="inlineStr"/>
    </row>
    <row r="18">
      <c r="A18" t="inlineStr">
        <is>
          <t>GLA</t>
        </is>
      </c>
      <c r="B18" t="inlineStr">
        <is>
          <t>4361929</t>
        </is>
      </c>
      <c r="C18" t="inlineStr">
        <is>
          <t>42</t>
        </is>
      </c>
      <c r="D18" t="inlineStr">
        <is>
          <t>pending</t>
        </is>
      </c>
      <c r="E18" t="b">
        <v>1</v>
      </c>
      <c r="F18">
        <f>IMAGE("https://chmeetings.blob.core.windows.net/846969/attachments/ZHwVcAbhikGrvFy7cbAgOw/65c7c3f4-46ed-4da0-b2f4-61e31c920b9f.jpg")</f>
        <v/>
      </c>
      <c r="G18" t="inlineStr">
        <is>
          <t>Nong Wynson</t>
        </is>
      </c>
      <c r="H18" t="inlineStr">
        <is>
          <t>Male</t>
        </is>
      </c>
      <c r="I18" t="n">
        <v>14</v>
      </c>
      <c r="J18" t="inlineStr">
        <is>
          <t>(626) 975-1445</t>
        </is>
      </c>
      <c r="K18" t="inlineStr">
        <is>
          <t>Nongwynson@gmail.com</t>
        </is>
      </c>
      <c r="L18" t="inlineStr">
        <is>
          <t>Volleyball</t>
        </is>
      </c>
      <c r="M18" t="inlineStr">
        <is>
          <t>Men</t>
        </is>
      </c>
      <c r="N18" t="inlineStr">
        <is>
          <t>Team</t>
        </is>
      </c>
      <c r="O18" t="inlineStr"/>
      <c r="P18" t="inlineStr"/>
    </row>
    <row r="19">
      <c r="A19" t="inlineStr">
        <is>
          <t>GLA</t>
        </is>
      </c>
      <c r="B19" t="inlineStr">
        <is>
          <t>3615944</t>
        </is>
      </c>
      <c r="C19" t="inlineStr">
        <is>
          <t>91</t>
        </is>
      </c>
      <c r="D19" t="inlineStr">
        <is>
          <t>validated</t>
        </is>
      </c>
      <c r="E19" t="b">
        <v>1</v>
      </c>
      <c r="F19">
        <f>IMAGE("https://chmeetings.blob.core.windows.net/846969/attachments/rYVJ4qoKkKAROIF7jl8aw/b8c5c502-e207-415e-860d-5ced9831efc8.jpg")</f>
        <v/>
      </c>
      <c r="G19" t="inlineStr">
        <is>
          <t>Pham Johnson</t>
        </is>
      </c>
      <c r="H19" t="inlineStr">
        <is>
          <t>Male</t>
        </is>
      </c>
      <c r="I19" t="n">
        <v>28</v>
      </c>
      <c r="J19" t="inlineStr">
        <is>
          <t>(626) 940-6989</t>
        </is>
      </c>
      <c r="K19" t="inlineStr">
        <is>
          <t>Johnson.hpham98@gmail.com</t>
        </is>
      </c>
      <c r="L19" t="inlineStr">
        <is>
          <t>Volleyball</t>
        </is>
      </c>
      <c r="M19" t="inlineStr">
        <is>
          <t>Men</t>
        </is>
      </c>
      <c r="N19" t="inlineStr">
        <is>
          <t>Team</t>
        </is>
      </c>
      <c r="O19" t="inlineStr"/>
      <c r="P19" t="inlineStr"/>
    </row>
    <row r="20">
      <c r="A20" t="inlineStr">
        <is>
          <t>MWC</t>
        </is>
      </c>
      <c r="B20" t="inlineStr">
        <is>
          <t>4363690</t>
        </is>
      </c>
      <c r="C20" t="inlineStr">
        <is>
          <t>117</t>
        </is>
      </c>
      <c r="D20" t="inlineStr">
        <is>
          <t>validated</t>
        </is>
      </c>
      <c r="E20" t="b">
        <v>1</v>
      </c>
      <c r="F20">
        <f>IMAGE("https://chmeetings.blob.core.windows.net/846969/attachments/TK02JE6UvkS6L5y3RVMZpw/1c35dc11-101f-473e-9f3b-e6cf53c7a11e.jpg")</f>
        <v/>
      </c>
      <c r="G20" t="inlineStr">
        <is>
          <t>Bui Bao</t>
        </is>
      </c>
      <c r="H20" t="inlineStr">
        <is>
          <t>Male</t>
        </is>
      </c>
      <c r="I20" t="n">
        <v>18</v>
      </c>
      <c r="J20" t="inlineStr">
        <is>
          <t>(657) 410-9810</t>
        </is>
      </c>
      <c r="K20" t="inlineStr">
        <is>
          <t>baothegamer@gmail.com</t>
        </is>
      </c>
      <c r="L20" t="inlineStr">
        <is>
          <t>Volleyball</t>
        </is>
      </c>
      <c r="M20" t="inlineStr">
        <is>
          <t>Men</t>
        </is>
      </c>
      <c r="N20" t="inlineStr">
        <is>
          <t>Team</t>
        </is>
      </c>
      <c r="O20" t="inlineStr"/>
      <c r="P20" t="inlineStr"/>
    </row>
    <row r="21">
      <c r="A21" t="inlineStr">
        <is>
          <t>MWC</t>
        </is>
      </c>
      <c r="B21" t="inlineStr">
        <is>
          <t>4363691</t>
        </is>
      </c>
      <c r="C21" t="inlineStr">
        <is>
          <t>118</t>
        </is>
      </c>
      <c r="D21" t="inlineStr">
        <is>
          <t>pending</t>
        </is>
      </c>
      <c r="E21" t="b">
        <v>1</v>
      </c>
      <c r="F21">
        <f>IMAGE("https://chmeetings.blob.core.windows.net/846969/attachments/LZK1UKiU9ka1qz181LoFHw/c787d8f9-2fa0-4b66-9472-2970b24b4acd.jpg")</f>
        <v/>
      </c>
      <c r="G21" t="inlineStr">
        <is>
          <t>Bui Benjamin</t>
        </is>
      </c>
      <c r="H21" t="inlineStr">
        <is>
          <t>Male</t>
        </is>
      </c>
      <c r="I21" t="n">
        <v>15</v>
      </c>
      <c r="J21" t="inlineStr">
        <is>
          <t>17142449022</t>
        </is>
      </c>
      <c r="K21" t="inlineStr">
        <is>
          <t>Buibenjamine@gmail.com</t>
        </is>
      </c>
      <c r="L21" t="inlineStr">
        <is>
          <t>Volleyball</t>
        </is>
      </c>
      <c r="M21" t="inlineStr">
        <is>
          <t>Men</t>
        </is>
      </c>
      <c r="N21" t="inlineStr">
        <is>
          <t>Team</t>
        </is>
      </c>
      <c r="O21" t="inlineStr"/>
      <c r="P21" t="inlineStr"/>
    </row>
    <row r="22">
      <c r="A22" t="inlineStr">
        <is>
          <t>MWC</t>
        </is>
      </c>
      <c r="B22" t="inlineStr">
        <is>
          <t>3635881</t>
        </is>
      </c>
      <c r="C22" t="inlineStr">
        <is>
          <t>122</t>
        </is>
      </c>
      <c r="D22" t="inlineStr">
        <is>
          <t>validated</t>
        </is>
      </c>
      <c r="E22" t="b">
        <v>1</v>
      </c>
      <c r="F22">
        <f>IMAGE("https://chmeetings.blob.core.windows.net/846969/attachments/57qlraZWF0iXfi6BDk0Aw/944388fc-08b9-4ebf-9b0d-b4c91ec7c4a2.jpg")</f>
        <v/>
      </c>
      <c r="G22" t="inlineStr">
        <is>
          <t>Nguyen Minh</t>
        </is>
      </c>
      <c r="H22" t="inlineStr">
        <is>
          <t>Male</t>
        </is>
      </c>
      <c r="I22" t="n">
        <v>19</v>
      </c>
      <c r="J22" t="inlineStr">
        <is>
          <t>(657) 758-1102</t>
        </is>
      </c>
      <c r="K22" t="inlineStr">
        <is>
          <t>minhngyn07@gmail.com</t>
        </is>
      </c>
      <c r="L22" t="inlineStr">
        <is>
          <t>Volleyball</t>
        </is>
      </c>
      <c r="M22" t="inlineStr">
        <is>
          <t>Men</t>
        </is>
      </c>
      <c r="N22" t="inlineStr">
        <is>
          <t>Team</t>
        </is>
      </c>
      <c r="O22" t="inlineStr"/>
      <c r="P22" t="inlineStr"/>
    </row>
    <row r="23">
      <c r="A23" t="inlineStr">
        <is>
          <t>ORN</t>
        </is>
      </c>
      <c r="B23" t="inlineStr">
        <is>
          <t>3623157</t>
        </is>
      </c>
      <c r="C23" t="inlineStr">
        <is>
          <t>79</t>
        </is>
      </c>
      <c r="D23" t="inlineStr">
        <is>
          <t>validated</t>
        </is>
      </c>
      <c r="E23" t="b">
        <v>1</v>
      </c>
      <c r="F23">
        <f>IMAGE("https://chmeetings.blob.core.windows.net/846969/attachments/HzlweDuVSE6PkzH7lPPQ/b05978ca-bb0d-4025-8e8b-e4bcb1a862e7.jpg")</f>
        <v/>
      </c>
      <c r="G23" t="inlineStr">
        <is>
          <t>Ho Johnny</t>
        </is>
      </c>
      <c r="H23" t="inlineStr">
        <is>
          <t>Male</t>
        </is>
      </c>
      <c r="I23" t="n">
        <v>18</v>
      </c>
      <c r="J23" t="inlineStr">
        <is>
          <t>(951) 573-3752</t>
        </is>
      </c>
      <c r="K23" t="inlineStr">
        <is>
          <t>hodoanhongquan2024@gmail.com</t>
        </is>
      </c>
      <c r="L23" t="inlineStr">
        <is>
          <t>Volleyball</t>
        </is>
      </c>
      <c r="M23" t="inlineStr">
        <is>
          <t>Men</t>
        </is>
      </c>
      <c r="N23" t="inlineStr">
        <is>
          <t>Team</t>
        </is>
      </c>
      <c r="O23" t="inlineStr"/>
      <c r="P23" t="inlineStr"/>
    </row>
    <row r="24">
      <c r="A24" t="inlineStr">
        <is>
          <t>ORN</t>
        </is>
      </c>
      <c r="B24" t="inlineStr">
        <is>
          <t>4363697</t>
        </is>
      </c>
      <c r="C24" t="inlineStr">
        <is>
          <t>78</t>
        </is>
      </c>
      <c r="D24" t="inlineStr">
        <is>
          <t>validated</t>
        </is>
      </c>
      <c r="E24" t="b">
        <v>1</v>
      </c>
      <c r="F24">
        <f>IMAGE("https://chmeetings.blob.core.windows.net/846969/attachments/askB42UIkkCVV68lGcOo2A/f5e4634d-a461-4e22-82cb-04c4294c2071.jpg")</f>
        <v/>
      </c>
      <c r="G24" t="inlineStr">
        <is>
          <t>Pham Dat</t>
        </is>
      </c>
      <c r="H24" t="inlineStr">
        <is>
          <t>Male</t>
        </is>
      </c>
      <c r="I24" t="n">
        <v>21</v>
      </c>
      <c r="J24" t="inlineStr">
        <is>
          <t>(951) 892-9984</t>
        </is>
      </c>
      <c r="K24" t="inlineStr">
        <is>
          <t>truongdatpham@gmail.com</t>
        </is>
      </c>
      <c r="L24" t="inlineStr">
        <is>
          <t>Volleyball</t>
        </is>
      </c>
      <c r="M24" t="inlineStr">
        <is>
          <t>Men</t>
        </is>
      </c>
      <c r="N24" t="inlineStr">
        <is>
          <t>Team</t>
        </is>
      </c>
      <c r="O24" t="inlineStr"/>
      <c r="P24" t="inlineStr"/>
    </row>
    <row r="25">
      <c r="A25" t="inlineStr">
        <is>
          <t>ORN</t>
        </is>
      </c>
      <c r="B25" t="inlineStr">
        <is>
          <t>3623151</t>
        </is>
      </c>
      <c r="C25" t="inlineStr">
        <is>
          <t>15</t>
        </is>
      </c>
      <c r="D25" t="inlineStr">
        <is>
          <t>validated</t>
        </is>
      </c>
      <c r="E25" t="b">
        <v>1</v>
      </c>
      <c r="F25">
        <f>IMAGE("https://chmeetings.blob.core.windows.net/846969/attachments/z7xCROYqU640Hcj39vXnA/7df9ecde-a535-47b7-b28e-c4595f88700e.jpg")</f>
        <v/>
      </c>
      <c r="G25" t="inlineStr">
        <is>
          <t>Tran Luke</t>
        </is>
      </c>
      <c r="H25" t="inlineStr">
        <is>
          <t>Male</t>
        </is>
      </c>
      <c r="I25" t="n">
        <v>19</v>
      </c>
      <c r="J25" t="inlineStr">
        <is>
          <t>(714) 696-2217</t>
        </is>
      </c>
      <c r="K25" t="inlineStr">
        <is>
          <t>ltttran01@gmail.com</t>
        </is>
      </c>
      <c r="L25" t="inlineStr">
        <is>
          <t>Volleyball</t>
        </is>
      </c>
      <c r="M25" t="inlineStr">
        <is>
          <t>Men</t>
        </is>
      </c>
      <c r="N25" t="inlineStr">
        <is>
          <t>Team</t>
        </is>
      </c>
      <c r="O25" t="inlineStr"/>
      <c r="P25" t="inlineStr"/>
    </row>
    <row r="26">
      <c r="A26" t="inlineStr">
        <is>
          <t>PCC</t>
        </is>
      </c>
      <c r="B26" t="inlineStr">
        <is>
          <t>3615924</t>
        </is>
      </c>
      <c r="C26" t="inlineStr">
        <is>
          <t>96</t>
        </is>
      </c>
      <c r="D26" t="inlineStr">
        <is>
          <t>validated</t>
        </is>
      </c>
      <c r="E26" t="b">
        <v>1</v>
      </c>
      <c r="F26">
        <f>IMAGE("https://chmeetings.blob.core.windows.net/846969/attachments/MZuX3sULm0uE6GUDiZyag/d82bddb5-8dc3-451c-a737-e765849edbe5.jpg")</f>
        <v/>
      </c>
      <c r="G26" t="inlineStr">
        <is>
          <t>Doan Sylas</t>
        </is>
      </c>
      <c r="H26" t="inlineStr">
        <is>
          <t>Male</t>
        </is>
      </c>
      <c r="I26" t="n">
        <v>18</v>
      </c>
      <c r="J26" t="inlineStr">
        <is>
          <t>(619) 897-0626</t>
        </is>
      </c>
      <c r="K26" t="inlineStr">
        <is>
          <t>sylaskdoan@gmail.com</t>
        </is>
      </c>
      <c r="L26" t="inlineStr">
        <is>
          <t>Volleyball</t>
        </is>
      </c>
      <c r="M26" t="inlineStr">
        <is>
          <t>Men</t>
        </is>
      </c>
      <c r="N26" t="inlineStr">
        <is>
          <t>Team</t>
        </is>
      </c>
      <c r="O26" t="inlineStr"/>
      <c r="P26" t="inlineStr">
        <is>
          <t>Timothy dao</t>
        </is>
      </c>
    </row>
    <row r="27">
      <c r="A27" t="inlineStr">
        <is>
          <t>PCC</t>
        </is>
      </c>
      <c r="B27" t="inlineStr">
        <is>
          <t>3610932</t>
        </is>
      </c>
      <c r="C27" t="inlineStr">
        <is>
          <t>99</t>
        </is>
      </c>
      <c r="D27" t="inlineStr">
        <is>
          <t>validated</t>
        </is>
      </c>
      <c r="E27" t="b">
        <v>0</v>
      </c>
      <c r="F27">
        <f>IMAGE("https://chmeetings.blob.core.windows.net/846969/attachments/jSqCYDu6wEGhHmvDctKIw/adebb1ad-5662-4028-b258-23ce1c422218.jpg")</f>
        <v/>
      </c>
      <c r="G27" t="inlineStr">
        <is>
          <t>Lai Jerry</t>
        </is>
      </c>
      <c r="H27" t="inlineStr">
        <is>
          <t>Male</t>
        </is>
      </c>
      <c r="I27" t="n">
        <v>28</v>
      </c>
      <c r="J27" t="inlineStr">
        <is>
          <t>(619) 402-7575</t>
        </is>
      </c>
      <c r="K27" t="inlineStr">
        <is>
          <t>jerry_lai1997@yahoo.com</t>
        </is>
      </c>
      <c r="L27" t="inlineStr">
        <is>
          <t>Volleyball</t>
        </is>
      </c>
      <c r="M27" t="inlineStr">
        <is>
          <t>Men</t>
        </is>
      </c>
      <c r="N27" t="inlineStr">
        <is>
          <t>Team</t>
        </is>
      </c>
      <c r="O27" t="inlineStr"/>
      <c r="P27" t="inlineStr"/>
    </row>
    <row r="28">
      <c r="A28" t="inlineStr">
        <is>
          <t>PCC</t>
        </is>
      </c>
      <c r="B28" t="inlineStr">
        <is>
          <t>3610933</t>
        </is>
      </c>
      <c r="C28" t="inlineStr">
        <is>
          <t>101</t>
        </is>
      </c>
      <c r="D28" t="inlineStr">
        <is>
          <t>validated</t>
        </is>
      </c>
      <c r="E28" t="b">
        <v>1</v>
      </c>
      <c r="F28">
        <f>IMAGE("https://chmeetings.blob.core.windows.net/846969/attachments/rsy8NHglukeGParGAUGW1g/b5dcbd2f-ae7f-4d6e-b042-75f29e50fee8.jpg")</f>
        <v/>
      </c>
      <c r="G28" t="inlineStr">
        <is>
          <t>huynh khang</t>
        </is>
      </c>
      <c r="H28" t="inlineStr">
        <is>
          <t>Male</t>
        </is>
      </c>
      <c r="I28" t="n">
        <v>20</v>
      </c>
      <c r="J28" t="inlineStr">
        <is>
          <t>(858) 305-9787</t>
        </is>
      </c>
      <c r="K28" t="inlineStr">
        <is>
          <t>khanghuynh1324@icloud.com</t>
        </is>
      </c>
      <c r="L28" t="inlineStr">
        <is>
          <t>Volleyball</t>
        </is>
      </c>
      <c r="M28" t="inlineStr">
        <is>
          <t>Men</t>
        </is>
      </c>
      <c r="N28" t="inlineStr">
        <is>
          <t>Team</t>
        </is>
      </c>
      <c r="O28" t="inlineStr"/>
      <c r="P28" t="inlineStr"/>
    </row>
    <row r="29">
      <c r="A29" t="inlineStr">
        <is>
          <t>PCC</t>
        </is>
      </c>
      <c r="B29" t="inlineStr">
        <is>
          <t>3610934</t>
        </is>
      </c>
      <c r="C29" t="inlineStr">
        <is>
          <t>100</t>
        </is>
      </c>
      <c r="D29" t="inlineStr">
        <is>
          <t>validated</t>
        </is>
      </c>
      <c r="E29" t="b">
        <v>1</v>
      </c>
      <c r="F29">
        <f>IMAGE("https://chmeetings.blob.core.windows.net/846969/attachments/UlcCVYaeNEOKklkE1etEw/8f0e0555-8491-4b7e-a7d5-4ea2e10c6a0c.jpg")</f>
        <v/>
      </c>
      <c r="G29" t="inlineStr">
        <is>
          <t>lai terry</t>
        </is>
      </c>
      <c r="H29" t="inlineStr">
        <is>
          <t>Male</t>
        </is>
      </c>
      <c r="I29" t="n">
        <v>25</v>
      </c>
      <c r="J29" t="inlineStr">
        <is>
          <t>(619) 219-1666</t>
        </is>
      </c>
      <c r="K29" t="inlineStr">
        <is>
          <t>laiterry123@gmail.com</t>
        </is>
      </c>
      <c r="L29" t="inlineStr">
        <is>
          <t>Volleyball</t>
        </is>
      </c>
      <c r="M29" t="inlineStr">
        <is>
          <t>Men</t>
        </is>
      </c>
      <c r="N29" t="inlineStr">
        <is>
          <t>Team</t>
        </is>
      </c>
      <c r="O29" t="inlineStr"/>
      <c r="P29" t="inlineStr"/>
    </row>
    <row r="30">
      <c r="A30" t="inlineStr">
        <is>
          <t>RPC</t>
        </is>
      </c>
      <c r="B30" t="inlineStr">
        <is>
          <t>3139537</t>
        </is>
      </c>
      <c r="C30" t="inlineStr">
        <is>
          <t>1</t>
        </is>
      </c>
      <c r="D30" t="inlineStr">
        <is>
          <t>validated</t>
        </is>
      </c>
      <c r="E30" t="b">
        <v>1</v>
      </c>
      <c r="F30">
        <f>IMAGE("https://chmeetings.blob.core.windows.net/846969/attachments/SnpHAMwrs02Ca3FCo4ZWwQ/d2d98798-711b-4696-8295-52f9363648ed.jpg")</f>
        <v/>
      </c>
      <c r="G30" t="inlineStr">
        <is>
          <t>Ho Timmy</t>
        </is>
      </c>
      <c r="H30" t="inlineStr">
        <is>
          <t>Male</t>
        </is>
      </c>
      <c r="I30" t="n">
        <v>26</v>
      </c>
      <c r="J30" t="inlineStr">
        <is>
          <t>(714) 402-0871</t>
        </is>
      </c>
      <c r="K30" t="inlineStr">
        <is>
          <t>timmyho@gmail.com</t>
        </is>
      </c>
      <c r="L30" t="inlineStr">
        <is>
          <t>Volleyball</t>
        </is>
      </c>
      <c r="M30" t="inlineStr">
        <is>
          <t>Men</t>
        </is>
      </c>
      <c r="N30" t="inlineStr">
        <is>
          <t>Team</t>
        </is>
      </c>
      <c r="O30" t="inlineStr"/>
      <c r="P30" t="inlineStr"/>
    </row>
    <row r="31">
      <c r="A31" t="inlineStr">
        <is>
          <t>RPC</t>
        </is>
      </c>
      <c r="B31" t="inlineStr">
        <is>
          <t>3618011</t>
        </is>
      </c>
      <c r="C31" t="inlineStr">
        <is>
          <t>5</t>
        </is>
      </c>
      <c r="D31" t="inlineStr">
        <is>
          <t>pending_approval</t>
        </is>
      </c>
      <c r="E31" t="b">
        <v>0</v>
      </c>
      <c r="F31">
        <f>IMAGE("https://chmeetings.blob.core.windows.net/846969/attachments/6OVYqNsD0EIO2D8oWesg/01a47c45-de35-4b60-95bb-c6e2d14b9c31.jpg")</f>
        <v/>
      </c>
      <c r="G31" t="inlineStr">
        <is>
          <t>Kang Daniel</t>
        </is>
      </c>
      <c r="H31" t="inlineStr">
        <is>
          <t>Male</t>
        </is>
      </c>
      <c r="I31" t="n">
        <v>26</v>
      </c>
      <c r="J31" t="inlineStr">
        <is>
          <t>(510) 846-6754</t>
        </is>
      </c>
      <c r="K31" t="inlineStr">
        <is>
          <t>dkang1617@gmail.com</t>
        </is>
      </c>
      <c r="L31" t="inlineStr">
        <is>
          <t>Volleyball</t>
        </is>
      </c>
      <c r="M31" t="inlineStr">
        <is>
          <t>Men</t>
        </is>
      </c>
      <c r="N31" t="inlineStr">
        <is>
          <t>Team</t>
        </is>
      </c>
      <c r="O31" t="inlineStr"/>
      <c r="P31" t="inlineStr"/>
    </row>
    <row r="32">
      <c r="A32" t="inlineStr">
        <is>
          <t>RPC</t>
        </is>
      </c>
      <c r="B32" t="inlineStr">
        <is>
          <t>3623161</t>
        </is>
      </c>
      <c r="C32" t="inlineStr">
        <is>
          <t>73</t>
        </is>
      </c>
      <c r="D32" t="inlineStr">
        <is>
          <t>validated</t>
        </is>
      </c>
      <c r="E32" t="b">
        <v>1</v>
      </c>
      <c r="F32">
        <f>IMAGE("https://chmeetings.blob.core.windows.net/846969/attachments/zFu5Ye4YuEfPPzx7Tm6w/45aec502-759a-4cc4-ac10-f3507cc30551.jpg")</f>
        <v/>
      </c>
      <c r="G32" t="inlineStr">
        <is>
          <t>Lam Dimitri</t>
        </is>
      </c>
      <c r="H32" t="inlineStr">
        <is>
          <t>Male</t>
        </is>
      </c>
      <c r="I32" t="n">
        <v>24</v>
      </c>
      <c r="J32" t="inlineStr">
        <is>
          <t>(714) 204-9160</t>
        </is>
      </c>
      <c r="K32" t="inlineStr">
        <is>
          <t>Dimitrilam33@gmail.com</t>
        </is>
      </c>
      <c r="L32" t="inlineStr">
        <is>
          <t>Volleyball</t>
        </is>
      </c>
      <c r="M32" t="inlineStr">
        <is>
          <t>Men</t>
        </is>
      </c>
      <c r="N32" t="inlineStr">
        <is>
          <t>Team</t>
        </is>
      </c>
      <c r="O32" t="inlineStr"/>
      <c r="P32" t="inlineStr"/>
    </row>
    <row r="33">
      <c r="A33" t="inlineStr">
        <is>
          <t>RPC</t>
        </is>
      </c>
      <c r="B33" t="inlineStr">
        <is>
          <t>4361920</t>
        </is>
      </c>
      <c r="C33" t="inlineStr">
        <is>
          <t>4</t>
        </is>
      </c>
      <c r="D33" t="inlineStr">
        <is>
          <t>pending</t>
        </is>
      </c>
      <c r="E33" t="b">
        <v>1</v>
      </c>
      <c r="F33">
        <f>IMAGE("https://chmeetings.blob.core.windows.net/846969/attachments/zwMnI3u99EOiML1Vo709lQ/e06bce6f-c69c-4e5b-aeb1-11312d8fd0dd.jpg")</f>
        <v/>
      </c>
      <c r="G33" t="inlineStr">
        <is>
          <t>Luu Ayden</t>
        </is>
      </c>
      <c r="H33" t="inlineStr">
        <is>
          <t>Male</t>
        </is>
      </c>
      <c r="I33" t="n">
        <v>17</v>
      </c>
      <c r="J33" t="inlineStr">
        <is>
          <t>(714) 719-8452</t>
        </is>
      </c>
      <c r="K33" t="inlineStr">
        <is>
          <t>luuayden@gmail.com</t>
        </is>
      </c>
      <c r="L33" t="inlineStr">
        <is>
          <t>Volleyball</t>
        </is>
      </c>
      <c r="M33" t="inlineStr">
        <is>
          <t>Men</t>
        </is>
      </c>
      <c r="N33" t="inlineStr">
        <is>
          <t>Team</t>
        </is>
      </c>
      <c r="O33" t="inlineStr"/>
      <c r="P33" t="inlineStr"/>
    </row>
    <row r="34">
      <c r="A34" t="inlineStr">
        <is>
          <t>RPC</t>
        </is>
      </c>
      <c r="B34" t="inlineStr">
        <is>
          <t>3318764</t>
        </is>
      </c>
      <c r="C34" t="inlineStr">
        <is>
          <t>9</t>
        </is>
      </c>
      <c r="D34" t="inlineStr">
        <is>
          <t>pending_approval</t>
        </is>
      </c>
      <c r="E34" t="b">
        <v>1</v>
      </c>
      <c r="F34">
        <f>IMAGE("https://chmeetings.blob.core.windows.net/846969/attachments/DoMq9dPmUUu8Q1z673WgQ/e87ffaee-015f-4989-96f9-da9736b2ff43.jpg")</f>
        <v/>
      </c>
      <c r="G34" t="inlineStr">
        <is>
          <t>Nguyen Johnny</t>
        </is>
      </c>
      <c r="H34" t="inlineStr">
        <is>
          <t>Male</t>
        </is>
      </c>
      <c r="I34" t="n">
        <v>17</v>
      </c>
      <c r="J34" t="inlineStr">
        <is>
          <t>(714) 585-4961</t>
        </is>
      </c>
      <c r="K34" t="inlineStr">
        <is>
          <t>junnynewinn@gmail.com</t>
        </is>
      </c>
      <c r="L34" t="inlineStr">
        <is>
          <t>Volleyball</t>
        </is>
      </c>
      <c r="M34" t="inlineStr">
        <is>
          <t>Men</t>
        </is>
      </c>
      <c r="N34" t="inlineStr">
        <is>
          <t>Team</t>
        </is>
      </c>
      <c r="O34" t="inlineStr"/>
      <c r="P34" t="inlineStr"/>
    </row>
    <row r="35">
      <c r="A35" t="inlineStr">
        <is>
          <t>RPC</t>
        </is>
      </c>
      <c r="B35" t="inlineStr">
        <is>
          <t>4363694</t>
        </is>
      </c>
      <c r="C35" t="inlineStr">
        <is>
          <t>74</t>
        </is>
      </c>
      <c r="D35" t="inlineStr">
        <is>
          <t>pending</t>
        </is>
      </c>
      <c r="E35" t="b">
        <v>0</v>
      </c>
      <c r="F35">
        <f>IMAGE("https://chmeetings.blob.core.windows.net/846969/attachments/crHhsVMlEkaqRf4RUhCow/d1e5e08d-8777-4bc6-9d04-9b585c7f3def.jpg")</f>
        <v/>
      </c>
      <c r="G35" t="inlineStr">
        <is>
          <t>Wong Garrett</t>
        </is>
      </c>
      <c r="H35" t="inlineStr">
        <is>
          <t>Male</t>
        </is>
      </c>
      <c r="I35" t="n">
        <v>17</v>
      </c>
      <c r="J35" t="inlineStr">
        <is>
          <t>(714) 824-7164</t>
        </is>
      </c>
      <c r="K35" t="inlineStr">
        <is>
          <t>gdog121107@gmail.com</t>
        </is>
      </c>
      <c r="L35" t="inlineStr">
        <is>
          <t>Volleyball</t>
        </is>
      </c>
      <c r="M35" t="inlineStr">
        <is>
          <t>Men</t>
        </is>
      </c>
      <c r="N35" t="inlineStr">
        <is>
          <t>Team</t>
        </is>
      </c>
      <c r="O35" t="inlineStr"/>
      <c r="P35" t="inlineStr"/>
    </row>
    <row r="36">
      <c r="A36" t="inlineStr">
        <is>
          <t>SDC</t>
        </is>
      </c>
      <c r="B36" t="inlineStr">
        <is>
          <t>4361930</t>
        </is>
      </c>
      <c r="C36" t="inlineStr">
        <is>
          <t>24</t>
        </is>
      </c>
      <c r="D36" t="inlineStr">
        <is>
          <t>validated</t>
        </is>
      </c>
      <c r="E36" t="b">
        <v>1</v>
      </c>
      <c r="F36">
        <f>IMAGE("https://chmeetings.blob.core.windows.net/846969/attachments/TkKY4kXMsECC0RXzudZ5tA/b84f2b40-fd84-416f-b1fe-87a8d863a84b.jpg")</f>
        <v/>
      </c>
      <c r="G36" t="inlineStr">
        <is>
          <t>Duong Quang</t>
        </is>
      </c>
      <c r="H36" t="inlineStr">
        <is>
          <t>Male</t>
        </is>
      </c>
      <c r="I36" t="n">
        <v>24</v>
      </c>
      <c r="J36" t="inlineStr">
        <is>
          <t>(619) 638-9596</t>
        </is>
      </c>
      <c r="K36" t="inlineStr">
        <is>
          <t>Qduong2605@gmail.com</t>
        </is>
      </c>
      <c r="L36" t="inlineStr">
        <is>
          <t>Volleyball</t>
        </is>
      </c>
      <c r="M36" t="inlineStr">
        <is>
          <t>Men</t>
        </is>
      </c>
      <c r="N36" t="inlineStr">
        <is>
          <t>Team</t>
        </is>
      </c>
      <c r="O36" t="inlineStr"/>
      <c r="P36" t="inlineStr"/>
    </row>
    <row r="37">
      <c r="A37" t="inlineStr">
        <is>
          <t>SDC</t>
        </is>
      </c>
      <c r="B37" t="inlineStr">
        <is>
          <t>3635297</t>
        </is>
      </c>
      <c r="C37" t="inlineStr">
        <is>
          <t>80</t>
        </is>
      </c>
      <c r="D37" t="inlineStr">
        <is>
          <t>validated</t>
        </is>
      </c>
      <c r="E37" t="b">
        <v>1</v>
      </c>
      <c r="F37">
        <f>IMAGE("https://chmeetings.blob.core.windows.net/846969/attachments/1JIaBiZw5UyOOxG8LNs6jw/c5690af5-0305-4818-b5f0-4e91868e4dd4.jpg")</f>
        <v/>
      </c>
      <c r="G37" t="inlineStr">
        <is>
          <t>Huynh Austin</t>
        </is>
      </c>
      <c r="H37" t="inlineStr">
        <is>
          <t>Male</t>
        </is>
      </c>
      <c r="I37" t="n">
        <v>20</v>
      </c>
      <c r="J37" t="inlineStr">
        <is>
          <t>(858) 880-6520</t>
        </is>
      </c>
      <c r="K37" t="inlineStr">
        <is>
          <t>aahuynh2006@gmail.com</t>
        </is>
      </c>
      <c r="L37" t="inlineStr">
        <is>
          <t>Volleyball</t>
        </is>
      </c>
      <c r="M37" t="inlineStr">
        <is>
          <t>Men</t>
        </is>
      </c>
      <c r="N37" t="inlineStr">
        <is>
          <t>Team</t>
        </is>
      </c>
      <c r="O37" t="inlineStr"/>
      <c r="P37" t="inlineStr"/>
    </row>
    <row r="38">
      <c r="A38" t="inlineStr">
        <is>
          <t>SDC</t>
        </is>
      </c>
      <c r="B38" t="inlineStr">
        <is>
          <t>4363696</t>
        </is>
      </c>
      <c r="C38" t="inlineStr">
        <is>
          <t>85</t>
        </is>
      </c>
      <c r="D38" t="inlineStr">
        <is>
          <t>pending</t>
        </is>
      </c>
      <c r="E38" t="b">
        <v>0</v>
      </c>
      <c r="F38">
        <f>IMAGE("https://chmeetings.blob.core.windows.net/846969/attachments/WkUK8P2AT02DuSP93vzyQ/de3c4b81-ac76-4773-9f41-3dbbfdb4c639.jpg")</f>
        <v/>
      </c>
      <c r="G38" t="inlineStr">
        <is>
          <t>Le Orion</t>
        </is>
      </c>
      <c r="H38" t="inlineStr">
        <is>
          <t>Male</t>
        </is>
      </c>
      <c r="I38" t="n">
        <v>15</v>
      </c>
      <c r="J38" t="inlineStr">
        <is>
          <t>(619) 636-9029</t>
        </is>
      </c>
      <c r="K38" t="inlineStr">
        <is>
          <t>orionkle@gmail.com</t>
        </is>
      </c>
      <c r="L38" t="inlineStr">
        <is>
          <t>Volleyball</t>
        </is>
      </c>
      <c r="M38" t="inlineStr">
        <is>
          <t>Men</t>
        </is>
      </c>
      <c r="N38" t="inlineStr">
        <is>
          <t>Team</t>
        </is>
      </c>
      <c r="O38" t="inlineStr"/>
      <c r="P38" t="inlineStr"/>
    </row>
    <row r="39">
      <c r="A39" t="inlineStr">
        <is>
          <t>SDC</t>
        </is>
      </c>
      <c r="B39" t="inlineStr">
        <is>
          <t>3632190</t>
        </is>
      </c>
      <c r="C39" t="inlineStr">
        <is>
          <t>19</t>
        </is>
      </c>
      <c r="D39" t="inlineStr">
        <is>
          <t>validated</t>
        </is>
      </c>
      <c r="E39" t="b">
        <v>1</v>
      </c>
      <c r="F39">
        <f>IMAGE("https://chmeetings.blob.core.windows.net/846969/attachments/v0KbVU03nUuXUrWpKoeQBA/635703c8-a438-4dc9-8ba8-8dc18fd00312.jpg")</f>
        <v/>
      </c>
      <c r="G39" t="inlineStr">
        <is>
          <t>Mai Andrew</t>
        </is>
      </c>
      <c r="H39" t="inlineStr">
        <is>
          <t>Male</t>
        </is>
      </c>
      <c r="I39" t="n">
        <v>24</v>
      </c>
      <c r="J39" t="inlineStr">
        <is>
          <t>(858) 610-3688</t>
        </is>
      </c>
      <c r="K39" t="inlineStr">
        <is>
          <t>andrewmai78@gmail.com</t>
        </is>
      </c>
      <c r="L39" t="inlineStr">
        <is>
          <t>Volleyball</t>
        </is>
      </c>
      <c r="M39" t="inlineStr">
        <is>
          <t>Men</t>
        </is>
      </c>
      <c r="N39" t="inlineStr">
        <is>
          <t>Team</t>
        </is>
      </c>
      <c r="O39" t="inlineStr"/>
      <c r="P39" t="inlineStr"/>
    </row>
    <row r="40">
      <c r="A40" t="inlineStr">
        <is>
          <t>SDC</t>
        </is>
      </c>
      <c r="B40" t="inlineStr">
        <is>
          <t>3631498</t>
        </is>
      </c>
      <c r="C40" t="inlineStr">
        <is>
          <t>23</t>
        </is>
      </c>
      <c r="D40" t="inlineStr">
        <is>
          <t>pending</t>
        </is>
      </c>
      <c r="E40" t="b">
        <v>1</v>
      </c>
      <c r="F40">
        <f>IMAGE("https://chmeetings.blob.core.windows.net/846969/attachments/JaOKRnWgzU2Ets1hKETkyg/1245d6dc-fe84-45e5-a936-90755a825089.jpg")</f>
        <v/>
      </c>
      <c r="G40" t="inlineStr">
        <is>
          <t>Tu Peter</t>
        </is>
      </c>
      <c r="H40" t="inlineStr">
        <is>
          <t>Male</t>
        </is>
      </c>
      <c r="I40" t="n">
        <v>16</v>
      </c>
      <c r="J40" t="inlineStr">
        <is>
          <t>(619) 850-3146</t>
        </is>
      </c>
      <c r="K40" t="inlineStr">
        <is>
          <t>22petertu@gmail.com</t>
        </is>
      </c>
      <c r="L40" t="inlineStr">
        <is>
          <t>Volleyball</t>
        </is>
      </c>
      <c r="M40" t="inlineStr">
        <is>
          <t>Men</t>
        </is>
      </c>
      <c r="N40" t="inlineStr">
        <is>
          <t>Team</t>
        </is>
      </c>
      <c r="O40" t="inlineStr"/>
      <c r="P40" t="inlineStr"/>
    </row>
    <row r="41">
      <c r="A41" t="inlineStr">
        <is>
          <t>WSD</t>
        </is>
      </c>
      <c r="B41" t="inlineStr">
        <is>
          <t>3625889</t>
        </is>
      </c>
      <c r="C41" t="inlineStr">
        <is>
          <t>104</t>
        </is>
      </c>
      <c r="D41" t="inlineStr">
        <is>
          <t>validated</t>
        </is>
      </c>
      <c r="E41" t="b">
        <v>1</v>
      </c>
      <c r="F41">
        <f>IMAGE("https://chmeetings.blob.core.windows.net/846969/attachments/VduSCcfrdUWJ7gbl9GLKMw/75acb3df-696d-448f-8690-af924f8e215e.jpg")</f>
        <v/>
      </c>
      <c r="G41" t="inlineStr">
        <is>
          <t>Tran Timmy</t>
        </is>
      </c>
      <c r="H41" t="inlineStr">
        <is>
          <t>Male</t>
        </is>
      </c>
      <c r="I41" t="n">
        <v>19</v>
      </c>
      <c r="J41" t="inlineStr">
        <is>
          <t>(619) 719-0024</t>
        </is>
      </c>
      <c r="K41" t="inlineStr">
        <is>
          <t>timmyltran@gmail.com</t>
        </is>
      </c>
      <c r="L41" t="inlineStr">
        <is>
          <t>Volleyball</t>
        </is>
      </c>
      <c r="M41" t="inlineStr">
        <is>
          <t>Men</t>
        </is>
      </c>
      <c r="N41" t="inlineStr">
        <is>
          <t>Team</t>
        </is>
      </c>
      <c r="O41" t="inlineStr"/>
      <c r="P41" t="inlineStr"/>
    </row>
  </sheetData>
  <autoFilter ref="A1:P4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5.5" customWidth="1" min="4" max="4"/>
    <col width="8.5" customWidth="1" min="5" max="5"/>
    <col width="50" customWidth="1" min="6" max="6"/>
    <col width="7.5" customWidth="1" min="7" max="7"/>
    <col width="5" customWidth="1" min="8" max="8"/>
    <col width="9" customWidth="1" min="9" max="9"/>
    <col width="9" customWidth="1" min="10" max="10"/>
    <col width="14.5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ANH</t>
        </is>
      </c>
      <c r="B2" t="inlineStr">
        <is>
          <t>3739995</t>
        </is>
      </c>
      <c r="C2" t="inlineStr">
        <is>
          <t>89</t>
        </is>
      </c>
      <c r="D2" t="inlineStr">
        <is>
          <t>validated</t>
        </is>
      </c>
      <c r="E2" t="b">
        <v>1</v>
      </c>
      <c r="F2">
        <f>IMAGE("https://chmeetings.blob.core.windows.net/846969/attachments/MUagp5MVh0uWHcOhTCv0A/9693d651-92b5-43b2-ab71-d35fb2a7981c.jpg")</f>
        <v/>
      </c>
      <c r="G2" t="inlineStr">
        <is>
          <t>Duong Kaitlyn</t>
        </is>
      </c>
      <c r="H2" t="inlineStr">
        <is>
          <t>Female</t>
        </is>
      </c>
      <c r="I2" t="n">
        <v>19</v>
      </c>
      <c r="J2" t="inlineStr">
        <is>
          <t>(714) 606-9350</t>
        </is>
      </c>
      <c r="K2" t="inlineStr">
        <is>
          <t>dnyltiak@gmail.com</t>
        </is>
      </c>
      <c r="L2" t="inlineStr">
        <is>
          <t>Volleyball</t>
        </is>
      </c>
      <c r="M2" t="inlineStr">
        <is>
          <t>Women</t>
        </is>
      </c>
      <c r="N2" t="inlineStr">
        <is>
          <t>Team</t>
        </is>
      </c>
      <c r="O2" t="inlineStr"/>
      <c r="P2" t="inlineStr"/>
    </row>
    <row r="3">
      <c r="A3" t="inlineStr">
        <is>
          <t>FVC</t>
        </is>
      </c>
      <c r="B3" t="inlineStr">
        <is>
          <t>3631513</t>
        </is>
      </c>
      <c r="C3" t="inlineStr">
        <is>
          <t>125</t>
        </is>
      </c>
      <c r="D3" t="inlineStr">
        <is>
          <t>validated</t>
        </is>
      </c>
      <c r="E3" t="b">
        <v>1</v>
      </c>
      <c r="F3">
        <f>IMAGE("https://chmeetings.blob.core.windows.net/846969/attachments/LctiwClonEOGNeDDzhDfLQ/1737a3f3-5776-4b28-84cd-1539661ebad3.jpg")</f>
        <v/>
      </c>
      <c r="G3" t="inlineStr">
        <is>
          <t>Pham Brianna</t>
        </is>
      </c>
      <c r="H3" t="inlineStr">
        <is>
          <t>Female</t>
        </is>
      </c>
      <c r="I3" t="n">
        <v>26</v>
      </c>
      <c r="J3" t="inlineStr">
        <is>
          <t>(714) 622-9590</t>
        </is>
      </c>
      <c r="K3" t="inlineStr">
        <is>
          <t>briannajpham@gmail.com</t>
        </is>
      </c>
      <c r="L3" t="inlineStr">
        <is>
          <t>Volleyball</t>
        </is>
      </c>
      <c r="M3" t="inlineStr">
        <is>
          <t>Women</t>
        </is>
      </c>
      <c r="N3" t="inlineStr">
        <is>
          <t>Team</t>
        </is>
      </c>
      <c r="O3" t="inlineStr"/>
      <c r="P3" t="inlineStr"/>
    </row>
    <row r="4">
      <c r="A4" t="inlineStr">
        <is>
          <t>FVC</t>
        </is>
      </c>
      <c r="B4" t="inlineStr">
        <is>
          <t>3631886</t>
        </is>
      </c>
      <c r="C4" t="inlineStr">
        <is>
          <t>68</t>
        </is>
      </c>
      <c r="D4" t="inlineStr">
        <is>
          <t>validated</t>
        </is>
      </c>
      <c r="E4" t="b">
        <v>1</v>
      </c>
      <c r="F4">
        <f>IMAGE("https://chmeetings.blob.core.windows.net/846969/attachments/DkJl6YJH8U2PP1rKWS5Uw/061b8791-e127-4834-bc55-a904d4dd79a2.jpg")</f>
        <v/>
      </c>
      <c r="G4" t="inlineStr">
        <is>
          <t>Tran Theresa</t>
        </is>
      </c>
      <c r="H4" t="inlineStr">
        <is>
          <t>Female</t>
        </is>
      </c>
      <c r="I4" t="n">
        <v>31</v>
      </c>
      <c r="J4" t="inlineStr">
        <is>
          <t>(714) 386-8878</t>
        </is>
      </c>
      <c r="K4" t="inlineStr">
        <is>
          <t>choochootrann@csu.fullerton.edu</t>
        </is>
      </c>
      <c r="L4" t="inlineStr">
        <is>
          <t>Volleyball</t>
        </is>
      </c>
      <c r="M4" t="inlineStr">
        <is>
          <t>Women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4363700</t>
        </is>
      </c>
      <c r="C5" t="inlineStr">
        <is>
          <t>109</t>
        </is>
      </c>
      <c r="D5" t="inlineStr">
        <is>
          <t>validated</t>
        </is>
      </c>
      <c r="E5" t="b">
        <v>0</v>
      </c>
      <c r="F5">
        <f>IMAGE("https://chmeetings.blob.core.windows.net/846969/attachments/qTC9Uat4MUaxatcLkF0ToA/508040b5-57e0-45eb-af89-0ef09a49a069.jpg")</f>
        <v/>
      </c>
      <c r="G5" t="inlineStr">
        <is>
          <t>Ahmed Marisa</t>
        </is>
      </c>
      <c r="H5" t="inlineStr">
        <is>
          <t>Female</t>
        </is>
      </c>
      <c r="I5" t="n">
        <v>30</v>
      </c>
      <c r="J5" t="inlineStr">
        <is>
          <t>(408) 209-1904</t>
        </is>
      </c>
      <c r="K5" t="inlineStr">
        <is>
          <t>mmllahmed@gmail.com</t>
        </is>
      </c>
      <c r="L5" t="inlineStr">
        <is>
          <t>Volleyball</t>
        </is>
      </c>
      <c r="M5" t="inlineStr">
        <is>
          <t>Women</t>
        </is>
      </c>
      <c r="N5" t="inlineStr">
        <is>
          <t>Team</t>
        </is>
      </c>
      <c r="O5" t="inlineStr"/>
      <c r="P5" t="inlineStr"/>
    </row>
    <row r="6">
      <c r="A6" t="inlineStr">
        <is>
          <t>GAC</t>
        </is>
      </c>
      <c r="B6" t="inlineStr">
        <is>
          <t>3639279</t>
        </is>
      </c>
      <c r="C6" t="inlineStr">
        <is>
          <t>51</t>
        </is>
      </c>
      <c r="D6" t="inlineStr">
        <is>
          <t>pending</t>
        </is>
      </c>
      <c r="E6" t="b">
        <v>1</v>
      </c>
      <c r="F6">
        <f>IMAGE("https://chmeetings.blob.core.windows.net/846969/attachments/B9YkQiCMUuEl7fhMqM94w/b0f466ec-8acd-4c6f-adef-e6a3339767c4.jpg")</f>
        <v/>
      </c>
      <c r="G6" t="inlineStr">
        <is>
          <t>Ha Gavrielle</t>
        </is>
      </c>
      <c r="H6" t="inlineStr">
        <is>
          <t>Female</t>
        </is>
      </c>
      <c r="I6" t="n">
        <v>13</v>
      </c>
      <c r="J6" t="inlineStr">
        <is>
          <t>(408) 332-1859</t>
        </is>
      </c>
      <c r="K6" t="inlineStr">
        <is>
          <t>Lovekountry2@gmail.com</t>
        </is>
      </c>
      <c r="L6" t="inlineStr">
        <is>
          <t>Volleyball</t>
        </is>
      </c>
      <c r="M6" t="inlineStr">
        <is>
          <t>Women</t>
        </is>
      </c>
      <c r="N6" t="inlineStr">
        <is>
          <t>Team</t>
        </is>
      </c>
      <c r="O6" t="inlineStr"/>
      <c r="P6" t="inlineStr"/>
    </row>
    <row r="7">
      <c r="A7" t="inlineStr">
        <is>
          <t>GAC</t>
        </is>
      </c>
      <c r="B7" t="inlineStr">
        <is>
          <t>3610922</t>
        </is>
      </c>
      <c r="C7" t="inlineStr">
        <is>
          <t>59</t>
        </is>
      </c>
      <c r="D7" t="inlineStr">
        <is>
          <t>pending</t>
        </is>
      </c>
      <c r="E7" t="b">
        <v>1</v>
      </c>
      <c r="F7">
        <f>IMAGE("https://chmeetings.blob.core.windows.net/846969/attachments/vznt2lixkKeNUrklylAOQ/9b94be0d-392e-4d1e-99d0-3439fb73bcd7.jpg")</f>
        <v/>
      </c>
      <c r="G7" t="inlineStr">
        <is>
          <t>Huynh Natalie</t>
        </is>
      </c>
      <c r="H7" t="inlineStr">
        <is>
          <t>Female</t>
        </is>
      </c>
      <c r="I7" t="n">
        <v>17</v>
      </c>
      <c r="J7" t="inlineStr">
        <is>
          <t>(510) 316-6941</t>
        </is>
      </c>
      <c r="K7" t="inlineStr">
        <is>
          <t>Evanassist@gmail.com</t>
        </is>
      </c>
      <c r="L7" t="inlineStr">
        <is>
          <t>Volleyball</t>
        </is>
      </c>
      <c r="M7" t="inlineStr">
        <is>
          <t>Women</t>
        </is>
      </c>
      <c r="N7" t="inlineStr">
        <is>
          <t>Team</t>
        </is>
      </c>
      <c r="O7" t="inlineStr"/>
      <c r="P7" t="inlineStr"/>
    </row>
    <row r="8">
      <c r="A8" t="inlineStr">
        <is>
          <t>GAC</t>
        </is>
      </c>
      <c r="B8" t="inlineStr">
        <is>
          <t>4361940</t>
        </is>
      </c>
      <c r="C8" t="inlineStr">
        <is>
          <t>54</t>
        </is>
      </c>
      <c r="D8" t="inlineStr">
        <is>
          <t>validated</t>
        </is>
      </c>
      <c r="E8" t="b">
        <v>0</v>
      </c>
      <c r="F8">
        <f>IMAGE("https://chmeetings.blob.core.windows.net/846969/attachments/O0vulBN2fEWjf0Xb50kUBg/56df1b2d-2da3-4c47-b78a-9a3753b58c1f.jpg")</f>
        <v/>
      </c>
      <c r="G8" t="inlineStr">
        <is>
          <t>Mangawang Jill</t>
        </is>
      </c>
      <c r="H8" t="inlineStr">
        <is>
          <t>Female</t>
        </is>
      </c>
      <c r="I8" t="n">
        <v>26</v>
      </c>
      <c r="J8" t="inlineStr">
        <is>
          <t>(650) 773-4162</t>
        </is>
      </c>
      <c r="K8" t="inlineStr">
        <is>
          <t>Jill.marjorie@yahoo.com</t>
        </is>
      </c>
      <c r="L8" t="inlineStr">
        <is>
          <t>Volleyball</t>
        </is>
      </c>
      <c r="M8" t="inlineStr">
        <is>
          <t>Women</t>
        </is>
      </c>
      <c r="N8" t="inlineStr">
        <is>
          <t>Team</t>
        </is>
      </c>
      <c r="O8" t="inlineStr"/>
      <c r="P8" t="inlineStr"/>
    </row>
    <row r="9">
      <c r="A9" t="inlineStr">
        <is>
          <t>GAC</t>
        </is>
      </c>
      <c r="B9" t="inlineStr">
        <is>
          <t>3623148</t>
        </is>
      </c>
      <c r="C9" t="inlineStr">
        <is>
          <t>43</t>
        </is>
      </c>
      <c r="D9" t="inlineStr">
        <is>
          <t>pending</t>
        </is>
      </c>
      <c r="E9" t="b">
        <v>1</v>
      </c>
      <c r="F9">
        <f>IMAGE("https://chmeetings.blob.core.windows.net/846969/attachments/4mCxNo0K6gT61d20NBA/fcae834f-995c-404b-ac0d-725ca2e16255.jpg")</f>
        <v/>
      </c>
      <c r="G9" t="inlineStr">
        <is>
          <t>Ngo Abigail</t>
        </is>
      </c>
      <c r="H9" t="inlineStr">
        <is>
          <t>Female</t>
        </is>
      </c>
      <c r="I9" t="n">
        <v>17</v>
      </c>
      <c r="J9" t="inlineStr">
        <is>
          <t>(408) 394-9972</t>
        </is>
      </c>
      <c r="K9" t="inlineStr">
        <is>
          <t>abigailpearln@gmail.com</t>
        </is>
      </c>
      <c r="L9" t="inlineStr">
        <is>
          <t>Volleyball</t>
        </is>
      </c>
      <c r="M9" t="inlineStr">
        <is>
          <t>Women</t>
        </is>
      </c>
      <c r="N9" t="inlineStr">
        <is>
          <t>Team</t>
        </is>
      </c>
      <c r="O9" t="inlineStr"/>
      <c r="P9" t="inlineStr"/>
    </row>
    <row r="10">
      <c r="A10" t="inlineStr">
        <is>
          <t>GAC</t>
        </is>
      </c>
      <c r="B10" t="inlineStr">
        <is>
          <t>4363701</t>
        </is>
      </c>
      <c r="C10" t="inlineStr">
        <is>
          <t>105</t>
        </is>
      </c>
      <c r="D10" t="inlineStr">
        <is>
          <t>pending</t>
        </is>
      </c>
      <c r="E10" t="b">
        <v>1</v>
      </c>
      <c r="F10">
        <f>IMAGE("https://chmeetings.blob.core.windows.net/846969/attachments/PE42ANWDEO4itEGSLic9A/c8d67430-bdd3-47dd-a724-f577a5d5e3e7.jpg")</f>
        <v/>
      </c>
      <c r="G10" t="inlineStr">
        <is>
          <t>Tran Caitlin</t>
        </is>
      </c>
      <c r="H10" t="inlineStr">
        <is>
          <t>Female</t>
        </is>
      </c>
      <c r="I10" t="n">
        <v>13</v>
      </c>
      <c r="J10" t="inlineStr">
        <is>
          <t>(408) 568-7264</t>
        </is>
      </c>
      <c r="K10" t="inlineStr">
        <is>
          <t>timltran2003@yahoo.com</t>
        </is>
      </c>
      <c r="L10" t="inlineStr">
        <is>
          <t>Volleyball</t>
        </is>
      </c>
      <c r="M10" t="inlineStr">
        <is>
          <t>Women</t>
        </is>
      </c>
      <c r="N10" t="inlineStr">
        <is>
          <t>Team</t>
        </is>
      </c>
      <c r="O10" t="inlineStr"/>
      <c r="P10" t="inlineStr"/>
    </row>
    <row r="11">
      <c r="A11" t="inlineStr">
        <is>
          <t>GAC</t>
        </is>
      </c>
      <c r="B11" t="inlineStr">
        <is>
          <t>3610920</t>
        </is>
      </c>
      <c r="C11" t="inlineStr">
        <is>
          <t>45</t>
        </is>
      </c>
      <c r="D11" t="inlineStr">
        <is>
          <t>validated</t>
        </is>
      </c>
      <c r="E11" t="b">
        <v>1</v>
      </c>
      <c r="F11">
        <f>IMAGE("https://chmeetings.blob.core.windows.net/846969/attachments/OyWbdJyT5EixPoP3spOyLg/80becd09-3898-4d0b-a5a3-71310f9d20d4.jpg")</f>
        <v/>
      </c>
      <c r="G11" t="inlineStr">
        <is>
          <t>Vo Aly</t>
        </is>
      </c>
      <c r="H11" t="inlineStr">
        <is>
          <t>Female</t>
        </is>
      </c>
      <c r="I11" t="n">
        <v>18</v>
      </c>
      <c r="J11" t="inlineStr">
        <is>
          <t>(341) 227-8343</t>
        </is>
      </c>
      <c r="K11" t="inlineStr">
        <is>
          <t>Aly.vo29@gmail.com</t>
        </is>
      </c>
      <c r="L11" t="inlineStr">
        <is>
          <t>Volleyball</t>
        </is>
      </c>
      <c r="M11" t="inlineStr">
        <is>
          <t>Women</t>
        </is>
      </c>
      <c r="N11" t="inlineStr">
        <is>
          <t>Team</t>
        </is>
      </c>
      <c r="O11" t="inlineStr"/>
      <c r="P11" t="inlineStr"/>
    </row>
    <row r="12">
      <c r="A12" t="inlineStr">
        <is>
          <t>GAC</t>
        </is>
      </c>
      <c r="B12" t="inlineStr">
        <is>
          <t>3610917</t>
        </is>
      </c>
      <c r="C12" t="inlineStr">
        <is>
          <t>56</t>
        </is>
      </c>
      <c r="D12" t="inlineStr">
        <is>
          <t>validated</t>
        </is>
      </c>
      <c r="E12" t="b">
        <v>1</v>
      </c>
      <c r="F12">
        <f>IMAGE("https://chmeetings.blob.core.windows.net/846969/attachments/dbPn6hwRbUmuEMeKWTNWxg/56cb0979-8b71-4c8e-9f5b-db9d018e400f.jpg")</f>
        <v/>
      </c>
      <c r="G12" t="inlineStr">
        <is>
          <t>Vo Kayla</t>
        </is>
      </c>
      <c r="H12" t="inlineStr">
        <is>
          <t>Female</t>
        </is>
      </c>
      <c r="I12" t="n">
        <v>19</v>
      </c>
      <c r="J12" t="inlineStr">
        <is>
          <t>(510) 774-2614</t>
        </is>
      </c>
      <c r="K12" t="inlineStr">
        <is>
          <t>kaimyvo@gmail.com</t>
        </is>
      </c>
      <c r="L12" t="inlineStr">
        <is>
          <t>Volleyball</t>
        </is>
      </c>
      <c r="M12" t="inlineStr">
        <is>
          <t>Women</t>
        </is>
      </c>
      <c r="N12" t="inlineStr">
        <is>
          <t>Team</t>
        </is>
      </c>
      <c r="O12" t="inlineStr"/>
      <c r="P12" t="inlineStr"/>
    </row>
    <row r="13">
      <c r="A13" t="inlineStr">
        <is>
          <t>GLA</t>
        </is>
      </c>
      <c r="B13" t="inlineStr">
        <is>
          <t>3622669</t>
        </is>
      </c>
      <c r="C13" t="inlineStr">
        <is>
          <t>35</t>
        </is>
      </c>
      <c r="D13" t="inlineStr">
        <is>
          <t>pending_approval</t>
        </is>
      </c>
      <c r="E13" t="b">
        <v>1</v>
      </c>
      <c r="F13">
        <f>IMAGE("https://chmeetings.blob.core.windows.net/846969/attachments/uJkCrgqNzkSEZSsvBrzxzg/dd65d621-0f48-4d4b-bceb-4bdde79b8168.jpg")</f>
        <v/>
      </c>
      <c r="G13" t="inlineStr">
        <is>
          <t>Huynh Brittany</t>
        </is>
      </c>
      <c r="H13" t="inlineStr">
        <is>
          <t>Female</t>
        </is>
      </c>
      <c r="I13" t="n">
        <v>28</v>
      </c>
      <c r="J13" t="inlineStr">
        <is>
          <t>(818) 681-6010</t>
        </is>
      </c>
      <c r="K13" t="inlineStr">
        <is>
          <t>brittany.huynh08@gmail.com</t>
        </is>
      </c>
      <c r="L13" t="inlineStr">
        <is>
          <t>Volleyball</t>
        </is>
      </c>
      <c r="M13" t="inlineStr">
        <is>
          <t>Women</t>
        </is>
      </c>
      <c r="N13" t="inlineStr">
        <is>
          <t>Team</t>
        </is>
      </c>
      <c r="O13" t="inlineStr"/>
      <c r="P13" t="inlineStr"/>
    </row>
    <row r="14">
      <c r="A14" t="inlineStr">
        <is>
          <t>GLA</t>
        </is>
      </c>
      <c r="B14" t="inlineStr">
        <is>
          <t>3625818</t>
        </is>
      </c>
      <c r="C14" t="inlineStr">
        <is>
          <t>92</t>
        </is>
      </c>
      <c r="D14" t="inlineStr">
        <is>
          <t>validated</t>
        </is>
      </c>
      <c r="E14" t="b">
        <v>1</v>
      </c>
      <c r="F14">
        <f>IMAGE("https://chmeetings.blob.core.windows.net/846969/attachments/OSCmy82Y7Ua7YlAvx7rpoA/a5c208c0-832a-4714-9b87-ba8388868c91.jpg")</f>
        <v/>
      </c>
      <c r="G14" t="inlineStr">
        <is>
          <t>Pham Kristine</t>
        </is>
      </c>
      <c r="H14" t="inlineStr">
        <is>
          <t>Female</t>
        </is>
      </c>
      <c r="I14" t="n">
        <v>26</v>
      </c>
      <c r="J14" t="inlineStr">
        <is>
          <t>(626) 940-7093</t>
        </is>
      </c>
      <c r="K14" t="inlineStr">
        <is>
          <t>Kristinephammy@gmail.com</t>
        </is>
      </c>
      <c r="L14" t="inlineStr">
        <is>
          <t>Volleyball</t>
        </is>
      </c>
      <c r="M14" t="inlineStr">
        <is>
          <t>Women</t>
        </is>
      </c>
      <c r="N14" t="inlineStr">
        <is>
          <t>Team</t>
        </is>
      </c>
      <c r="O14" t="inlineStr"/>
      <c r="P14" t="inlineStr"/>
    </row>
    <row r="15">
      <c r="A15" t="inlineStr">
        <is>
          <t>GLA</t>
        </is>
      </c>
      <c r="B15" t="inlineStr">
        <is>
          <t>4361936</t>
        </is>
      </c>
      <c r="C15" t="inlineStr">
        <is>
          <t>37</t>
        </is>
      </c>
      <c r="D15" t="inlineStr">
        <is>
          <t>pending</t>
        </is>
      </c>
      <c r="E15" t="b">
        <v>1</v>
      </c>
      <c r="F15">
        <f>IMAGE("https://chmeetings.blob.core.windows.net/846969/attachments/MiQBuOnZk0eapDUpawDkNA/5295deb6-c6cd-4150-b7b5-d64dd70083b6.jpg")</f>
        <v/>
      </c>
      <c r="G15" t="inlineStr">
        <is>
          <t>Wang Jolie</t>
        </is>
      </c>
      <c r="H15" t="inlineStr">
        <is>
          <t>Female</t>
        </is>
      </c>
      <c r="I15" t="n">
        <v>15</v>
      </c>
      <c r="J15" t="inlineStr">
        <is>
          <t>(626) 560-8082</t>
        </is>
      </c>
      <c r="K15" t="inlineStr">
        <is>
          <t>joliewang12@gmail.com</t>
        </is>
      </c>
      <c r="L15" t="inlineStr">
        <is>
          <t>Volleyball</t>
        </is>
      </c>
      <c r="M15" t="inlineStr">
        <is>
          <t>Women</t>
        </is>
      </c>
      <c r="N15" t="inlineStr">
        <is>
          <t>Team</t>
        </is>
      </c>
      <c r="O15" t="inlineStr"/>
      <c r="P15" t="inlineStr"/>
    </row>
    <row r="16">
      <c r="A16" t="inlineStr">
        <is>
          <t>MWC</t>
        </is>
      </c>
      <c r="B16" t="inlineStr">
        <is>
          <t>3634402</t>
        </is>
      </c>
      <c r="C16" t="inlineStr">
        <is>
          <t>121</t>
        </is>
      </c>
      <c r="D16" t="inlineStr">
        <is>
          <t>validated</t>
        </is>
      </c>
      <c r="E16" t="b">
        <v>1</v>
      </c>
      <c r="F16">
        <f>IMAGE("https://chmeetings.blob.core.windows.net/846969/attachments/qwaDZjf0aNW9jVVcIEXA/99f4374c-673a-4df1-b72e-ef135b7bf532.jpg")</f>
        <v/>
      </c>
      <c r="G16" t="inlineStr">
        <is>
          <t>Nguyen Mai</t>
        </is>
      </c>
      <c r="H16" t="inlineStr">
        <is>
          <t>Female</t>
        </is>
      </c>
      <c r="I16" t="n">
        <v>21</v>
      </c>
      <c r="J16" t="inlineStr">
        <is>
          <t>(714) 902-8040</t>
        </is>
      </c>
      <c r="K16" t="inlineStr">
        <is>
          <t>mainguyen300105@gmail.com</t>
        </is>
      </c>
      <c r="L16" t="inlineStr">
        <is>
          <t>Volleyball</t>
        </is>
      </c>
      <c r="M16" t="inlineStr">
        <is>
          <t>Women</t>
        </is>
      </c>
      <c r="N16" t="inlineStr">
        <is>
          <t>Team</t>
        </is>
      </c>
      <c r="O16" t="inlineStr"/>
      <c r="P16" t="inlineStr"/>
    </row>
    <row r="17">
      <c r="A17" t="inlineStr">
        <is>
          <t>NHC</t>
        </is>
      </c>
      <c r="B17" t="inlineStr">
        <is>
          <t>3570849</t>
        </is>
      </c>
      <c r="C17" t="inlineStr">
        <is>
          <t>32</t>
        </is>
      </c>
      <c r="D17" t="inlineStr">
        <is>
          <t>validated</t>
        </is>
      </c>
      <c r="E17" t="b">
        <v>1</v>
      </c>
      <c r="F17">
        <f>IMAGE("https://chmeetings.blob.core.windows.net/846969/attachments/ImZkxkYEeJVq4IgCqawg/acea4bd7-c650-4527-8991-aa7a30072191.jpg")</f>
        <v/>
      </c>
      <c r="G17" t="inlineStr">
        <is>
          <t>Nguyen Faith</t>
        </is>
      </c>
      <c r="H17" t="inlineStr">
        <is>
          <t>Female</t>
        </is>
      </c>
      <c r="I17" t="n">
        <v>21</v>
      </c>
      <c r="J17" t="inlineStr">
        <is>
          <t>(818) 364-1995</t>
        </is>
      </c>
      <c r="K17" t="inlineStr">
        <is>
          <t>faithdnguyen@gmail.com</t>
        </is>
      </c>
      <c r="L17" t="inlineStr">
        <is>
          <t>Volleyball</t>
        </is>
      </c>
      <c r="M17" t="inlineStr">
        <is>
          <t>Women</t>
        </is>
      </c>
      <c r="N17" t="inlineStr">
        <is>
          <t>Team</t>
        </is>
      </c>
      <c r="O17" t="inlineStr"/>
      <c r="P17" t="inlineStr"/>
    </row>
    <row r="18">
      <c r="A18" t="inlineStr">
        <is>
          <t>NHC</t>
        </is>
      </c>
      <c r="B18" t="inlineStr">
        <is>
          <t>3630107</t>
        </is>
      </c>
      <c r="C18" t="inlineStr">
        <is>
          <t>33</t>
        </is>
      </c>
      <c r="D18" t="inlineStr">
        <is>
          <t>validated</t>
        </is>
      </c>
      <c r="E18" t="b">
        <v>1</v>
      </c>
      <c r="F18">
        <f>IMAGE("https://chmeetings.blob.core.windows.net/846969/attachments/B2AeM61EiaenvZFE5GJA/7474f516-6576-427d-817f-9e334bd24a36.jpg")</f>
        <v/>
      </c>
      <c r="G18" t="inlineStr">
        <is>
          <t>Nguyen Nhi</t>
        </is>
      </c>
      <c r="H18" t="inlineStr">
        <is>
          <t>Female</t>
        </is>
      </c>
      <c r="I18" t="n">
        <v>22</v>
      </c>
      <c r="J18" t="inlineStr">
        <is>
          <t>(818) 205-6576</t>
        </is>
      </c>
      <c r="K18" t="inlineStr">
        <is>
          <t>nhikneenguyen@gmail.com</t>
        </is>
      </c>
      <c r="L18" t="inlineStr">
        <is>
          <t>Volleyball</t>
        </is>
      </c>
      <c r="M18" t="inlineStr">
        <is>
          <t>Women</t>
        </is>
      </c>
      <c r="N18" t="inlineStr">
        <is>
          <t>Team</t>
        </is>
      </c>
      <c r="O18" t="inlineStr"/>
      <c r="P18" t="inlineStr"/>
    </row>
    <row r="19">
      <c r="A19" t="inlineStr">
        <is>
          <t>NHC</t>
        </is>
      </c>
      <c r="B19" t="inlineStr">
        <is>
          <t>4361931</t>
        </is>
      </c>
      <c r="C19" t="inlineStr">
        <is>
          <t>34</t>
        </is>
      </c>
      <c r="D19" t="inlineStr">
        <is>
          <t>validated</t>
        </is>
      </c>
      <c r="E19" t="b">
        <v>1</v>
      </c>
      <c r="F19">
        <f>IMAGE("https://chmeetings.blob.core.windows.net/846969/attachments/F4w3vSczI06e8w0dsmofYA/e9ff8cac-4f75-4fdf-9684-72ad97ca13f2.jpg")</f>
        <v/>
      </c>
      <c r="G19" t="inlineStr">
        <is>
          <t>Nguyen Trinity</t>
        </is>
      </c>
      <c r="H19" t="inlineStr">
        <is>
          <t>Female</t>
        </is>
      </c>
      <c r="I19" t="n">
        <v>19</v>
      </c>
      <c r="J19" t="inlineStr">
        <is>
          <t>(818) 521-0702</t>
        </is>
      </c>
      <c r="K19" t="inlineStr">
        <is>
          <t>trinitynguyen819@gmail.com</t>
        </is>
      </c>
      <c r="L19" t="inlineStr">
        <is>
          <t>Volleyball</t>
        </is>
      </c>
      <c r="M19" t="inlineStr">
        <is>
          <t>Women</t>
        </is>
      </c>
      <c r="N19" t="inlineStr">
        <is>
          <t>Team</t>
        </is>
      </c>
      <c r="O19" t="inlineStr"/>
      <c r="P19" t="inlineStr"/>
    </row>
    <row r="20">
      <c r="A20" t="inlineStr">
        <is>
          <t>ORN</t>
        </is>
      </c>
      <c r="B20" t="inlineStr">
        <is>
          <t>3635913</t>
        </is>
      </c>
      <c r="C20" t="inlineStr">
        <is>
          <t>17</t>
        </is>
      </c>
      <c r="D20" t="inlineStr">
        <is>
          <t>validated</t>
        </is>
      </c>
      <c r="E20" t="b">
        <v>1</v>
      </c>
      <c r="F20">
        <f>IMAGE("https://chmeetings.blob.core.windows.net/846969/attachments/Mul7jbKbAE29qrSeitsaQ/70858581-18a8-4d38-a34b-36f27970e10b.jpg")</f>
        <v/>
      </c>
      <c r="G20" t="inlineStr">
        <is>
          <t>Le Naomi</t>
        </is>
      </c>
      <c r="H20" t="inlineStr">
        <is>
          <t>Female</t>
        </is>
      </c>
      <c r="I20" t="n">
        <v>18</v>
      </c>
      <c r="J20" t="inlineStr">
        <is>
          <t>(951) 474-9992</t>
        </is>
      </c>
      <c r="K20" t="inlineStr">
        <is>
          <t>naomithienngocle@gmail.com</t>
        </is>
      </c>
      <c r="L20" t="inlineStr">
        <is>
          <t>Volleyball</t>
        </is>
      </c>
      <c r="M20" t="inlineStr">
        <is>
          <t>Women</t>
        </is>
      </c>
      <c r="N20" t="inlineStr">
        <is>
          <t>Team</t>
        </is>
      </c>
      <c r="O20" t="inlineStr"/>
      <c r="P20" t="inlineStr"/>
    </row>
    <row r="21">
      <c r="A21" t="inlineStr">
        <is>
          <t>PCC</t>
        </is>
      </c>
      <c r="B21" t="inlineStr">
        <is>
          <t>3610930</t>
        </is>
      </c>
      <c r="C21" t="inlineStr">
        <is>
          <t>94</t>
        </is>
      </c>
      <c r="D21" t="inlineStr">
        <is>
          <t>pending</t>
        </is>
      </c>
      <c r="E21" t="b">
        <v>1</v>
      </c>
      <c r="F21">
        <f>IMAGE("https://chmeetings.blob.core.windows.net/846969/attachments/0334zPheP0iaYDfGUyBQ2A/484ab1fa-b9eb-4695-9798-897b62cb6b4f.jpg")</f>
        <v/>
      </c>
      <c r="G21" t="inlineStr">
        <is>
          <t>Phan Daisey</t>
        </is>
      </c>
      <c r="H21" t="inlineStr">
        <is>
          <t>Female</t>
        </is>
      </c>
      <c r="I21" t="n">
        <v>16</v>
      </c>
      <c r="J21" t="inlineStr">
        <is>
          <t>(619) 227-8965</t>
        </is>
      </c>
      <c r="K21" t="inlineStr">
        <is>
          <t>daiseyphan441@gmail.com</t>
        </is>
      </c>
      <c r="L21" t="inlineStr">
        <is>
          <t>Volleyball</t>
        </is>
      </c>
      <c r="M21" t="inlineStr">
        <is>
          <t>Women</t>
        </is>
      </c>
      <c r="N21" t="inlineStr">
        <is>
          <t>Team</t>
        </is>
      </c>
      <c r="O21" t="inlineStr"/>
      <c r="P21" t="inlineStr"/>
    </row>
    <row r="22">
      <c r="A22" t="inlineStr">
        <is>
          <t>PCC</t>
        </is>
      </c>
      <c r="B22" t="inlineStr">
        <is>
          <t>3615928</t>
        </is>
      </c>
      <c r="C22" t="inlineStr">
        <is>
          <t>98</t>
        </is>
      </c>
      <c r="D22" t="inlineStr">
        <is>
          <t>pending</t>
        </is>
      </c>
      <c r="E22" t="b">
        <v>1</v>
      </c>
      <c r="F22">
        <f>IMAGE("https://chmeetings.blob.core.windows.net/846969/attachments/yr8GQWRkaMhXEt644AUA/cc58517d-7f6e-43e7-b6eb-9441856782fb.jpg")</f>
        <v/>
      </c>
      <c r="G22" t="inlineStr">
        <is>
          <t>Thach Aimy</t>
        </is>
      </c>
      <c r="H22" t="inlineStr">
        <is>
          <t>Female</t>
        </is>
      </c>
      <c r="I22" t="n">
        <v>0</v>
      </c>
      <c r="J22" t="inlineStr">
        <is>
          <t>(619) 832-2469</t>
        </is>
      </c>
      <c r="K22" t="inlineStr">
        <is>
          <t>aimythach2008@gmail.com</t>
        </is>
      </c>
      <c r="L22" t="inlineStr">
        <is>
          <t>Volleyball</t>
        </is>
      </c>
      <c r="M22" t="inlineStr">
        <is>
          <t>Women</t>
        </is>
      </c>
      <c r="N22" t="inlineStr">
        <is>
          <t>Team</t>
        </is>
      </c>
      <c r="O22" t="inlineStr"/>
      <c r="P22" t="inlineStr"/>
    </row>
    <row r="23">
      <c r="A23" t="inlineStr">
        <is>
          <t>PCC</t>
        </is>
      </c>
      <c r="B23" t="inlineStr">
        <is>
          <t>3615923</t>
        </is>
      </c>
      <c r="C23" t="inlineStr">
        <is>
          <t>95</t>
        </is>
      </c>
      <c r="D23" t="inlineStr">
        <is>
          <t>pending</t>
        </is>
      </c>
      <c r="E23" t="b">
        <v>1</v>
      </c>
      <c r="F23">
        <f>IMAGE("https://chmeetings.blob.core.windows.net/846969/attachments/IoPT5OC820MZ0J9W3iYjg/3b910098-b32e-4041-af82-6d4931dcb398.jpg")</f>
        <v/>
      </c>
      <c r="G23" t="inlineStr">
        <is>
          <t>Thach Cammy</t>
        </is>
      </c>
      <c r="H23" t="inlineStr">
        <is>
          <t>Female</t>
        </is>
      </c>
      <c r="I23" t="n">
        <v>16</v>
      </c>
      <c r="J23" t="inlineStr">
        <is>
          <t>(619) 512-2261</t>
        </is>
      </c>
      <c r="K23" t="inlineStr">
        <is>
          <t>cammythach2009@gmail.com</t>
        </is>
      </c>
      <c r="L23" t="inlineStr">
        <is>
          <t>Volleyball</t>
        </is>
      </c>
      <c r="M23" t="inlineStr">
        <is>
          <t>Women</t>
        </is>
      </c>
      <c r="N23" t="inlineStr">
        <is>
          <t>Team</t>
        </is>
      </c>
      <c r="O23" t="inlineStr"/>
      <c r="P23" t="inlineStr"/>
    </row>
    <row r="24">
      <c r="A24" t="inlineStr">
        <is>
          <t>PCC</t>
        </is>
      </c>
      <c r="B24" t="inlineStr">
        <is>
          <t>3615939</t>
        </is>
      </c>
      <c r="C24" t="inlineStr">
        <is>
          <t>103</t>
        </is>
      </c>
      <c r="D24" t="inlineStr">
        <is>
          <t>pending</t>
        </is>
      </c>
      <c r="E24" t="b">
        <v>1</v>
      </c>
      <c r="F24">
        <f>IMAGE("https://chmeetings.blob.core.windows.net/846969/attachments/mM0gFFZvK0y4fHMGqX3qIA/e2efb60e-cb30-4d10-8462-78bce218d675.jpg")</f>
        <v/>
      </c>
      <c r="G24" t="inlineStr">
        <is>
          <t>Vuong Victoria</t>
        </is>
      </c>
      <c r="H24" t="inlineStr">
        <is>
          <t>Female</t>
        </is>
      </c>
      <c r="I24" t="n">
        <v>15</v>
      </c>
      <c r="J24" t="inlineStr">
        <is>
          <t>(858) 780-6524</t>
        </is>
      </c>
      <c r="K24" t="inlineStr">
        <is>
          <t>victoria.vuongg11@gmail.com</t>
        </is>
      </c>
      <c r="L24" t="inlineStr">
        <is>
          <t>Volleyball</t>
        </is>
      </c>
      <c r="M24" t="inlineStr">
        <is>
          <t>Women</t>
        </is>
      </c>
      <c r="N24" t="inlineStr">
        <is>
          <t>Team</t>
        </is>
      </c>
      <c r="O24" t="inlineStr"/>
      <c r="P24" t="inlineStr"/>
    </row>
    <row r="25">
      <c r="A25" t="inlineStr">
        <is>
          <t>RPC</t>
        </is>
      </c>
      <c r="B25" t="inlineStr">
        <is>
          <t>3615935</t>
        </is>
      </c>
      <c r="C25" t="inlineStr">
        <is>
          <t>6</t>
        </is>
      </c>
      <c r="D25" t="inlineStr">
        <is>
          <t>pending_approval</t>
        </is>
      </c>
      <c r="E25" t="b">
        <v>1</v>
      </c>
      <c r="F25">
        <f>IMAGE("https://chmeetings.blob.core.windows.net/846969/attachments/WTqSOpU4yE2opCVCMF2sJQ/637a0ed2-2668-4583-ae97-66dbcfffa078.jpg")</f>
        <v/>
      </c>
      <c r="G25" t="inlineStr">
        <is>
          <t>Duong Emily</t>
        </is>
      </c>
      <c r="H25" t="inlineStr">
        <is>
          <t>Female</t>
        </is>
      </c>
      <c r="I25" t="n">
        <v>14</v>
      </c>
      <c r="J25" t="inlineStr">
        <is>
          <t>(714) 454-1390</t>
        </is>
      </c>
      <c r="K25" t="inlineStr">
        <is>
          <t>emilyduong411@gmail.com</t>
        </is>
      </c>
      <c r="L25" t="inlineStr">
        <is>
          <t>Volleyball</t>
        </is>
      </c>
      <c r="M25" t="inlineStr">
        <is>
          <t>Women</t>
        </is>
      </c>
      <c r="N25" t="inlineStr">
        <is>
          <t>Team</t>
        </is>
      </c>
      <c r="O25" t="inlineStr"/>
      <c r="P25" t="inlineStr"/>
    </row>
    <row r="26">
      <c r="A26" t="inlineStr">
        <is>
          <t>RPC</t>
        </is>
      </c>
      <c r="B26" t="inlineStr">
        <is>
          <t>3628891</t>
        </is>
      </c>
      <c r="C26" t="inlineStr">
        <is>
          <t>70</t>
        </is>
      </c>
      <c r="D26" t="inlineStr">
        <is>
          <t>pending</t>
        </is>
      </c>
      <c r="E26" t="b">
        <v>1</v>
      </c>
      <c r="F26">
        <f>IMAGE("https://chmeetings.blob.core.windows.net/846969/attachments/qYsqyoFUWkOaQb5QUBES6g/603d1093-8a12-4fff-ab36-9128541811d0.jpg")</f>
        <v/>
      </c>
      <c r="G26" t="inlineStr">
        <is>
          <t>Le Aneesa</t>
        </is>
      </c>
      <c r="H26" t="inlineStr">
        <is>
          <t>Female</t>
        </is>
      </c>
      <c r="I26" t="n">
        <v>15</v>
      </c>
      <c r="J26" t="inlineStr">
        <is>
          <t>(562) 350-8879</t>
        </is>
      </c>
      <c r="K26" t="inlineStr">
        <is>
          <t>k10ale27@gmail.com</t>
        </is>
      </c>
      <c r="L26" t="inlineStr">
        <is>
          <t>Volleyball</t>
        </is>
      </c>
      <c r="M26" t="inlineStr">
        <is>
          <t>Women</t>
        </is>
      </c>
      <c r="N26" t="inlineStr">
        <is>
          <t>Team</t>
        </is>
      </c>
      <c r="O26" t="inlineStr"/>
      <c r="P26" t="inlineStr"/>
    </row>
    <row r="27">
      <c r="A27" t="inlineStr">
        <is>
          <t>RPC</t>
        </is>
      </c>
      <c r="B27" t="inlineStr">
        <is>
          <t>3622254</t>
        </is>
      </c>
      <c r="C27" t="inlineStr">
        <is>
          <t>12</t>
        </is>
      </c>
      <c r="D27" t="inlineStr">
        <is>
          <t>pending</t>
        </is>
      </c>
      <c r="E27" t="b">
        <v>1</v>
      </c>
      <c r="F27">
        <f>IMAGE("https://chmeetings.blob.core.windows.net/846969/attachments/5NJ5RbEedbMYhRHg3aQ/440e3a48-4f2e-43e2-a71d-52fd0fb16bed.jpg")</f>
        <v/>
      </c>
      <c r="G27" t="inlineStr">
        <is>
          <t>Mai Serena</t>
        </is>
      </c>
      <c r="H27" t="inlineStr">
        <is>
          <t>Female</t>
        </is>
      </c>
      <c r="I27" t="n">
        <v>15</v>
      </c>
      <c r="J27" t="inlineStr">
        <is>
          <t>(714) 873-5541</t>
        </is>
      </c>
      <c r="K27" t="inlineStr">
        <is>
          <t>Serenaquynhnga@gmail.com</t>
        </is>
      </c>
      <c r="L27" t="inlineStr">
        <is>
          <t>Volleyball</t>
        </is>
      </c>
      <c r="M27" t="inlineStr">
        <is>
          <t>Women</t>
        </is>
      </c>
      <c r="N27" t="inlineStr">
        <is>
          <t>Team</t>
        </is>
      </c>
      <c r="O27" t="inlineStr"/>
      <c r="P27" t="inlineStr"/>
    </row>
    <row r="28">
      <c r="A28" t="inlineStr">
        <is>
          <t>RPC</t>
        </is>
      </c>
      <c r="B28" t="inlineStr">
        <is>
          <t>3631136</t>
        </is>
      </c>
      <c r="C28" t="inlineStr">
        <is>
          <t>71</t>
        </is>
      </c>
      <c r="D28" t="inlineStr">
        <is>
          <t>pending</t>
        </is>
      </c>
      <c r="E28" t="b">
        <v>1</v>
      </c>
      <c r="F28">
        <f>IMAGE("https://chmeetings.blob.core.windows.net/846969/attachments/Iv2VhaKKwkaFaBpP8S2ag/cac9b249-47a7-41a5-867f-c28bdfaebd54.jpg")</f>
        <v/>
      </c>
      <c r="G28" t="inlineStr">
        <is>
          <t>Nguyen Celine</t>
        </is>
      </c>
      <c r="H28" t="inlineStr">
        <is>
          <t>Female</t>
        </is>
      </c>
      <c r="I28" t="n">
        <v>14</v>
      </c>
      <c r="J28" t="inlineStr">
        <is>
          <t>16573345295</t>
        </is>
      </c>
      <c r="K28" t="inlineStr">
        <is>
          <t>celineng0417@gmail.com</t>
        </is>
      </c>
      <c r="L28" t="inlineStr">
        <is>
          <t>Volleyball</t>
        </is>
      </c>
      <c r="M28" t="inlineStr">
        <is>
          <t>Women</t>
        </is>
      </c>
      <c r="N28" t="inlineStr">
        <is>
          <t>Team</t>
        </is>
      </c>
      <c r="O28" t="inlineStr"/>
      <c r="P28" t="inlineStr"/>
    </row>
    <row r="29">
      <c r="A29" t="inlineStr">
        <is>
          <t>RPC</t>
        </is>
      </c>
      <c r="B29" t="inlineStr">
        <is>
          <t>3623153</t>
        </is>
      </c>
      <c r="C29" t="inlineStr">
        <is>
          <t>10</t>
        </is>
      </c>
      <c r="D29" t="inlineStr">
        <is>
          <t>pending</t>
        </is>
      </c>
      <c r="E29" t="b">
        <v>1</v>
      </c>
      <c r="F29">
        <f>IMAGE("https://chmeetings.blob.core.windows.net/846969/attachments/uRGnrO7OUSC9u9A8qI6Ew/6d913fcf-92fa-46db-92ed-660ade1d2be9.jpg")</f>
        <v/>
      </c>
      <c r="G29" t="inlineStr">
        <is>
          <t>Ramirez Julianna</t>
        </is>
      </c>
      <c r="H29" t="inlineStr">
        <is>
          <t>Female</t>
        </is>
      </c>
      <c r="I29" t="n">
        <v>15</v>
      </c>
      <c r="J29" t="inlineStr">
        <is>
          <t>(310) 927-2810</t>
        </is>
      </c>
      <c r="K29" t="inlineStr">
        <is>
          <t>jframirez3911@gmail.com</t>
        </is>
      </c>
      <c r="L29" t="inlineStr">
        <is>
          <t>Volleyball</t>
        </is>
      </c>
      <c r="M29" t="inlineStr">
        <is>
          <t>Women</t>
        </is>
      </c>
      <c r="N29" t="inlineStr">
        <is>
          <t>Team</t>
        </is>
      </c>
      <c r="O29" t="inlineStr"/>
      <c r="P29" t="inlineStr"/>
    </row>
    <row r="30">
      <c r="A30" t="inlineStr">
        <is>
          <t>RPC</t>
        </is>
      </c>
      <c r="B30" t="inlineStr">
        <is>
          <t>3636092</t>
        </is>
      </c>
      <c r="C30" t="inlineStr">
        <is>
          <t>76</t>
        </is>
      </c>
      <c r="D30" t="inlineStr">
        <is>
          <t>validated</t>
        </is>
      </c>
      <c r="E30" t="b">
        <v>1</v>
      </c>
      <c r="F30">
        <f>IMAGE("https://chmeetings.blob.core.windows.net/846969/attachments/QKmokAHgD0CRoagnLQrkgw/bafd016a-9ab5-4d54-abbf-d878d7795f2a.jpg")</f>
        <v/>
      </c>
      <c r="G30" t="inlineStr">
        <is>
          <t>ly jennifer</t>
        </is>
      </c>
      <c r="H30" t="inlineStr">
        <is>
          <t>Female</t>
        </is>
      </c>
      <c r="I30" t="n">
        <v>21</v>
      </c>
      <c r="J30" t="inlineStr">
        <is>
          <t>(714) 331-4416</t>
        </is>
      </c>
      <c r="K30" t="inlineStr">
        <is>
          <t>jefferly7899@gmail.com</t>
        </is>
      </c>
      <c r="L30" t="inlineStr">
        <is>
          <t>Volleyball</t>
        </is>
      </c>
      <c r="M30" t="inlineStr">
        <is>
          <t>Women</t>
        </is>
      </c>
      <c r="N30" t="inlineStr">
        <is>
          <t>Team</t>
        </is>
      </c>
      <c r="O30" t="inlineStr"/>
      <c r="P30" t="inlineStr"/>
    </row>
    <row r="31">
      <c r="A31" t="inlineStr">
        <is>
          <t>SDC</t>
        </is>
      </c>
      <c r="B31" t="inlineStr">
        <is>
          <t>3631509</t>
        </is>
      </c>
      <c r="C31" t="inlineStr">
        <is>
          <t>81</t>
        </is>
      </c>
      <c r="D31" t="inlineStr">
        <is>
          <t>validated</t>
        </is>
      </c>
      <c r="E31" t="b">
        <v>1</v>
      </c>
      <c r="F31">
        <f>IMAGE("https://chmeetings.blob.core.windows.net/846969/attachments/qHFzw2su0EaXZVKX3nFTw/64676df0-467f-47ec-9834-a4285178e62b.jpg")</f>
        <v/>
      </c>
      <c r="G31" t="inlineStr">
        <is>
          <t>Ngo Christine</t>
        </is>
      </c>
      <c r="H31" t="inlineStr">
        <is>
          <t>Female</t>
        </is>
      </c>
      <c r="I31" t="n">
        <v>25</v>
      </c>
      <c r="J31" t="inlineStr">
        <is>
          <t>(858) 531-0418</t>
        </is>
      </c>
      <c r="K31" t="inlineStr">
        <is>
          <t>ctngo23@gmail.com</t>
        </is>
      </c>
      <c r="L31" t="inlineStr">
        <is>
          <t>Volleyball</t>
        </is>
      </c>
      <c r="M31" t="inlineStr">
        <is>
          <t>Women</t>
        </is>
      </c>
      <c r="N31" t="inlineStr">
        <is>
          <t>Team</t>
        </is>
      </c>
      <c r="O31" t="inlineStr"/>
      <c r="P31" t="inlineStr"/>
    </row>
    <row r="32">
      <c r="A32" t="inlineStr">
        <is>
          <t>SDC</t>
        </is>
      </c>
      <c r="B32" t="inlineStr">
        <is>
          <t>3634932</t>
        </is>
      </c>
      <c r="C32" t="inlineStr">
        <is>
          <t>20</t>
        </is>
      </c>
      <c r="D32" t="inlineStr">
        <is>
          <t>validated</t>
        </is>
      </c>
      <c r="E32" t="b">
        <v>1</v>
      </c>
      <c r="F32">
        <f>IMAGE("https://chmeetings.blob.core.windows.net/846969/attachments/WqLDZlxmt0iD9mbVC64Uw/f643734c-922a-40e4-8cd8-24b44d5a9b84.jpg")</f>
        <v/>
      </c>
      <c r="G32" t="inlineStr">
        <is>
          <t>Ngo Esther</t>
        </is>
      </c>
      <c r="H32" t="inlineStr">
        <is>
          <t>Female</t>
        </is>
      </c>
      <c r="I32" t="n">
        <v>23</v>
      </c>
      <c r="J32" t="inlineStr">
        <is>
          <t>(619) 301-7384</t>
        </is>
      </c>
      <c r="K32" t="inlineStr">
        <is>
          <t>esther.ngo1222@gmail.com</t>
        </is>
      </c>
      <c r="L32" t="inlineStr">
        <is>
          <t>Volleyball</t>
        </is>
      </c>
      <c r="M32" t="inlineStr">
        <is>
          <t>Women</t>
        </is>
      </c>
      <c r="N32" t="inlineStr">
        <is>
          <t>Team</t>
        </is>
      </c>
      <c r="O32" t="inlineStr"/>
      <c r="P32" t="inlineStr"/>
    </row>
    <row r="33">
      <c r="A33" t="inlineStr">
        <is>
          <t>WCC</t>
        </is>
      </c>
      <c r="B33" t="inlineStr">
        <is>
          <t>3634935</t>
        </is>
      </c>
      <c r="C33" t="inlineStr">
        <is>
          <t>134</t>
        </is>
      </c>
      <c r="D33" t="inlineStr">
        <is>
          <t>pending</t>
        </is>
      </c>
      <c r="E33" t="b">
        <v>0</v>
      </c>
      <c r="F33">
        <f>IMAGE("https://chmeetings.blob.core.windows.net/846969/attachments/9nEGy85sokmJaBeo9nAUDw/a8b80cd3-43d6-42a5-b2f6-86c0ed51a320.jpg")</f>
        <v/>
      </c>
      <c r="G33" t="inlineStr">
        <is>
          <t>Hoang Kimmi</t>
        </is>
      </c>
      <c r="H33" t="inlineStr">
        <is>
          <t>Female</t>
        </is>
      </c>
      <c r="I33" t="n">
        <v>16</v>
      </c>
      <c r="J33" t="inlineStr">
        <is>
          <t>(714) 468-6918</t>
        </is>
      </c>
      <c r="K33" t="inlineStr">
        <is>
          <t>kimmipatootie22@gmail.com</t>
        </is>
      </c>
      <c r="L33" t="inlineStr">
        <is>
          <t>Volleyball</t>
        </is>
      </c>
      <c r="M33" t="inlineStr">
        <is>
          <t>Women</t>
        </is>
      </c>
      <c r="N33" t="inlineStr">
        <is>
          <t>Team</t>
        </is>
      </c>
      <c r="O33" t="inlineStr"/>
      <c r="P33" t="inlineStr"/>
    </row>
  </sheetData>
  <autoFilter ref="A1:P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5.5" customWidth="1" min="14" max="14"/>
    <col width="7" customWidth="1" min="15" max="15"/>
    <col width="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3610914</t>
        </is>
      </c>
      <c r="C2" t="inlineStr">
        <is>
          <t>64</t>
        </is>
      </c>
      <c r="D2" t="inlineStr">
        <is>
          <t>validated</t>
        </is>
      </c>
      <c r="E2" t="b">
        <v>1</v>
      </c>
      <c r="F2">
        <f>IMAGE("https://chmeetings.blob.core.windows.net/846969/attachments/lN4DcHc006cgfECjmFHA/ffef9c1f-80b5-4973-9c35-271cc20fcf5b.jpg")</f>
        <v/>
      </c>
      <c r="G2" t="inlineStr">
        <is>
          <t>Nguyen Isaiah</t>
        </is>
      </c>
      <c r="H2" t="inlineStr">
        <is>
          <t>Male</t>
        </is>
      </c>
      <c r="I2" t="n">
        <v>23</v>
      </c>
      <c r="J2" t="inlineStr">
        <is>
          <t>(804) 549-2196</t>
        </is>
      </c>
      <c r="K2" t="inlineStr">
        <is>
          <t>Mylife2ezz@gmail.com</t>
        </is>
      </c>
      <c r="L2" t="inlineStr">
        <is>
          <t>Pickleball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Dylan</t>
        </is>
      </c>
    </row>
    <row r="3">
      <c r="A3" t="inlineStr">
        <is>
          <t>GAC</t>
        </is>
      </c>
      <c r="B3" t="inlineStr">
        <is>
          <t>3615958</t>
        </is>
      </c>
      <c r="C3" t="inlineStr">
        <is>
          <t>107</t>
        </is>
      </c>
      <c r="D3" t="inlineStr">
        <is>
          <t>validated</t>
        </is>
      </c>
      <c r="E3" t="b">
        <v>1</v>
      </c>
      <c r="F3">
        <f>IMAGE("https://chmeetings.blob.core.windows.net/846969/attachments/qPojkJbp4kmvCBQqd9r3Hw/09507491-ec10-4228-9164-6ed0669cc6b3.jpg")</f>
        <v/>
      </c>
      <c r="G3" t="inlineStr">
        <is>
          <t>Sauveur Jamie</t>
        </is>
      </c>
      <c r="H3" t="inlineStr">
        <is>
          <t>Male</t>
        </is>
      </c>
      <c r="I3" t="n">
        <v>29</v>
      </c>
      <c r="J3" t="inlineStr">
        <is>
          <t>(408) 605-7288</t>
        </is>
      </c>
      <c r="K3" t="inlineStr">
        <is>
          <t>jamieboy97@gmail.com</t>
        </is>
      </c>
      <c r="L3" t="inlineStr">
        <is>
          <t>Pickleball</t>
        </is>
      </c>
      <c r="M3" t="inlineStr">
        <is>
          <t>Mixed</t>
        </is>
      </c>
      <c r="N3" t="inlineStr">
        <is>
          <t>Doubles</t>
        </is>
      </c>
      <c r="O3" t="inlineStr"/>
      <c r="P3" t="inlineStr">
        <is>
          <t>Vivian Tran</t>
        </is>
      </c>
    </row>
    <row r="4">
      <c r="A4" t="inlineStr">
        <is>
          <t>GAC</t>
        </is>
      </c>
      <c r="B4" t="inlineStr">
        <is>
          <t>3476612</t>
        </is>
      </c>
      <c r="C4" t="inlineStr">
        <is>
          <t>116</t>
        </is>
      </c>
      <c r="D4" t="inlineStr">
        <is>
          <t>validated</t>
        </is>
      </c>
      <c r="E4" t="b">
        <v>1</v>
      </c>
      <c r="F4">
        <f>IMAGE("https://chmeetings.blob.core.windows.net/846969/attachments/Yp0fusxU7UaOh8VIZqAdA/caa141b9-5524-474e-80b6-679f3fc1d845.jpg")</f>
        <v/>
      </c>
      <c r="G4" t="inlineStr">
        <is>
          <t>Tran Vivian</t>
        </is>
      </c>
      <c r="H4" t="inlineStr">
        <is>
          <t>Female</t>
        </is>
      </c>
      <c r="I4" t="n">
        <v>23</v>
      </c>
      <c r="J4" t="inlineStr">
        <is>
          <t>(916) 272-5979</t>
        </is>
      </c>
      <c r="K4" t="inlineStr">
        <is>
          <t>Viviantrvnn@gmail.com</t>
        </is>
      </c>
      <c r="L4" t="inlineStr">
        <is>
          <t>Pickleball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Jamie S</t>
        </is>
      </c>
    </row>
    <row r="5">
      <c r="A5" t="inlineStr">
        <is>
          <t>GAC</t>
        </is>
      </c>
      <c r="B5" t="inlineStr">
        <is>
          <t>3610920</t>
        </is>
      </c>
      <c r="C5" t="inlineStr">
        <is>
          <t>45</t>
        </is>
      </c>
      <c r="D5" t="inlineStr">
        <is>
          <t>validated</t>
        </is>
      </c>
      <c r="E5" t="b">
        <v>1</v>
      </c>
      <c r="F5">
        <f>IMAGE("https://chmeetings.blob.core.windows.net/846969/attachments/OyWbdJyT5EixPoP3spOyLg/80becd09-3898-4d0b-a5a3-71310f9d20d4.jpg")</f>
        <v/>
      </c>
      <c r="G5" t="inlineStr">
        <is>
          <t>Vo Aly</t>
        </is>
      </c>
      <c r="H5" t="inlineStr">
        <is>
          <t>Female</t>
        </is>
      </c>
      <c r="I5" t="n">
        <v>18</v>
      </c>
      <c r="J5" t="inlineStr">
        <is>
          <t>(341) 227-8343</t>
        </is>
      </c>
      <c r="K5" t="inlineStr">
        <is>
          <t>Aly.vo29@gmail.com</t>
        </is>
      </c>
      <c r="L5" t="inlineStr">
        <is>
          <t>Pickleball</t>
        </is>
      </c>
      <c r="M5" t="inlineStr">
        <is>
          <t>Mixed</t>
        </is>
      </c>
      <c r="N5" t="inlineStr">
        <is>
          <t>Doubles</t>
        </is>
      </c>
      <c r="O5" t="inlineStr"/>
      <c r="P5" t="inlineStr">
        <is>
          <t>King Vo</t>
        </is>
      </c>
    </row>
    <row r="6">
      <c r="A6" t="inlineStr">
        <is>
          <t>GLA</t>
        </is>
      </c>
      <c r="B6" t="inlineStr">
        <is>
          <t>3615944</t>
        </is>
      </c>
      <c r="C6" t="inlineStr">
        <is>
          <t>91</t>
        </is>
      </c>
      <c r="D6" t="inlineStr">
        <is>
          <t>validated</t>
        </is>
      </c>
      <c r="E6" t="b">
        <v>1</v>
      </c>
      <c r="F6">
        <f>IMAGE("https://chmeetings.blob.core.windows.net/846969/attachments/rYVJ4qoKkKAROIF7jl8aw/b8c5c502-e207-415e-860d-5ced9831efc8.jpg")</f>
        <v/>
      </c>
      <c r="G6" t="inlineStr">
        <is>
          <t>Pham Johnson</t>
        </is>
      </c>
      <c r="H6" t="inlineStr">
        <is>
          <t>Male</t>
        </is>
      </c>
      <c r="I6" t="n">
        <v>28</v>
      </c>
      <c r="J6" t="inlineStr">
        <is>
          <t>(626) 940-6989</t>
        </is>
      </c>
      <c r="K6" t="inlineStr">
        <is>
          <t>Johnson.hpham98@gmail.com</t>
        </is>
      </c>
      <c r="L6" t="inlineStr">
        <is>
          <t>Pickleball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GLA</t>
        </is>
      </c>
      <c r="B7" t="inlineStr">
        <is>
          <t>3625818</t>
        </is>
      </c>
      <c r="C7" t="inlineStr">
        <is>
          <t>92</t>
        </is>
      </c>
      <c r="D7" t="inlineStr">
        <is>
          <t>validated</t>
        </is>
      </c>
      <c r="E7" t="b">
        <v>1</v>
      </c>
      <c r="F7">
        <f>IMAGE("https://chmeetings.blob.core.windows.net/846969/attachments/OSCmy82Y7Ua7YlAvx7rpoA/a5c208c0-832a-4714-9b87-ba8388868c91.jpg")</f>
        <v/>
      </c>
      <c r="G7" t="inlineStr">
        <is>
          <t>Pham Kristine</t>
        </is>
      </c>
      <c r="H7" t="inlineStr">
        <is>
          <t>Female</t>
        </is>
      </c>
      <c r="I7" t="n">
        <v>26</v>
      </c>
      <c r="J7" t="inlineStr">
        <is>
          <t>(626) 940-7093</t>
        </is>
      </c>
      <c r="K7" t="inlineStr">
        <is>
          <t>Kristinephammy@gmail.com</t>
        </is>
      </c>
      <c r="L7" t="inlineStr">
        <is>
          <t>Pickleball</t>
        </is>
      </c>
      <c r="M7" t="inlineStr">
        <is>
          <t>Women</t>
        </is>
      </c>
      <c r="N7" t="inlineStr">
        <is>
          <t>Doubles</t>
        </is>
      </c>
      <c r="O7" t="inlineStr"/>
      <c r="P7" t="inlineStr">
        <is>
          <t>Breanne huynh</t>
        </is>
      </c>
    </row>
    <row r="8">
      <c r="A8" t="inlineStr">
        <is>
          <t>PCC</t>
        </is>
      </c>
      <c r="B8" t="inlineStr">
        <is>
          <t>3615924</t>
        </is>
      </c>
      <c r="C8" t="inlineStr">
        <is>
          <t>96</t>
        </is>
      </c>
      <c r="D8" t="inlineStr">
        <is>
          <t>validated</t>
        </is>
      </c>
      <c r="E8" t="b">
        <v>1</v>
      </c>
      <c r="F8">
        <f>IMAGE("https://chmeetings.blob.core.windows.net/846969/attachments/MZuX3sULm0uE6GUDiZyag/d82bddb5-8dc3-451c-a737-e765849edbe5.jpg")</f>
        <v/>
      </c>
      <c r="G8" t="inlineStr">
        <is>
          <t>Doan Sylas</t>
        </is>
      </c>
      <c r="H8" t="inlineStr">
        <is>
          <t>Male</t>
        </is>
      </c>
      <c r="I8" t="n">
        <v>18</v>
      </c>
      <c r="J8" t="inlineStr">
        <is>
          <t>(619) 897-0626</t>
        </is>
      </c>
      <c r="K8" t="inlineStr">
        <is>
          <t>sylaskdoan@gmail.com</t>
        </is>
      </c>
      <c r="L8" t="inlineStr">
        <is>
          <t>Pickleball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RPC</t>
        </is>
      </c>
      <c r="B9" t="inlineStr">
        <is>
          <t>3319022</t>
        </is>
      </c>
      <c r="C9" t="inlineStr">
        <is>
          <t>72</t>
        </is>
      </c>
      <c r="D9" t="inlineStr">
        <is>
          <t>validated</t>
        </is>
      </c>
      <c r="E9" t="b">
        <v>1</v>
      </c>
      <c r="F9">
        <f>IMAGE("https://chmeetings.blob.core.windows.net/846969/attachments/wgs7ZEXaUeEkguHnHo1g/c1df6443-764d-4695-a9b9-0a02dd2360f6.jpg")</f>
        <v/>
      </c>
      <c r="G9" t="inlineStr">
        <is>
          <t>Nguyen Dean</t>
        </is>
      </c>
      <c r="H9" t="inlineStr">
        <is>
          <t>Male</t>
        </is>
      </c>
      <c r="I9" t="n">
        <v>23</v>
      </c>
      <c r="J9" t="inlineStr">
        <is>
          <t>(714) 955-7492</t>
        </is>
      </c>
      <c r="K9" t="inlineStr">
        <is>
          <t>Deanbao3132@gmail.com</t>
        </is>
      </c>
      <c r="L9" t="inlineStr">
        <is>
          <t>Pickleball</t>
        </is>
      </c>
      <c r="M9" t="inlineStr">
        <is>
          <t>Mixed</t>
        </is>
      </c>
      <c r="N9" t="inlineStr">
        <is>
          <t>Doubles</t>
        </is>
      </c>
      <c r="O9" t="inlineStr"/>
      <c r="P9" t="inlineStr">
        <is>
          <t>Janice</t>
        </is>
      </c>
    </row>
    <row r="10">
      <c r="A10" t="inlineStr">
        <is>
          <t>RPC</t>
        </is>
      </c>
      <c r="B10" t="inlineStr">
        <is>
          <t>4363699</t>
        </is>
      </c>
      <c r="C10" t="inlineStr">
        <is>
          <t>75</t>
        </is>
      </c>
      <c r="D10" t="inlineStr">
        <is>
          <t>validated</t>
        </is>
      </c>
      <c r="E10" t="b">
        <v>0</v>
      </c>
      <c r="F10">
        <f>IMAGE("https://chmeetings.blob.core.windows.net/846969/attachments/O0mpFpTI5EuryRbrCKsw/37a73f2c-30f6-4c19-981f-aa31acc8d5a0.jpg")</f>
        <v/>
      </c>
      <c r="G10" t="inlineStr">
        <is>
          <t>Vu Janice</t>
        </is>
      </c>
      <c r="H10" t="inlineStr">
        <is>
          <t>Female</t>
        </is>
      </c>
      <c r="I10" t="n">
        <v>24</v>
      </c>
      <c r="J10" t="inlineStr">
        <is>
          <t>(714) 989-9158</t>
        </is>
      </c>
      <c r="K10" t="inlineStr">
        <is>
          <t>Janvu545@gmail.com</t>
        </is>
      </c>
      <c r="L10" t="inlineStr">
        <is>
          <t>Pickleball</t>
        </is>
      </c>
      <c r="M10" t="inlineStr">
        <is>
          <t>Mixed</t>
        </is>
      </c>
      <c r="N10" t="inlineStr">
        <is>
          <t>Doubles</t>
        </is>
      </c>
      <c r="O10" t="inlineStr"/>
      <c r="P10" t="inlineStr"/>
    </row>
    <row r="11">
      <c r="A11" t="inlineStr">
        <is>
          <t>SDC</t>
        </is>
      </c>
      <c r="B11" t="inlineStr">
        <is>
          <t>4361942</t>
        </is>
      </c>
      <c r="C11" t="inlineStr">
        <is>
          <t>22</t>
        </is>
      </c>
      <c r="D11" t="inlineStr">
        <is>
          <t>validated</t>
        </is>
      </c>
      <c r="E11" t="b">
        <v>1</v>
      </c>
      <c r="F11">
        <f>IMAGE("https://chmeetings.blob.core.windows.net/846969/attachments/oBxVmMKo9U2QdhPSUPgpfg/1595e1f5-6f42-49d1-a76e-b49ba082ce9e.jpg")</f>
        <v/>
      </c>
      <c r="G11" t="inlineStr">
        <is>
          <t>Nguyen Ly</t>
        </is>
      </c>
      <c r="H11" t="inlineStr">
        <is>
          <t>Female</t>
        </is>
      </c>
      <c r="I11" t="n">
        <v>22</v>
      </c>
      <c r="J11" t="inlineStr">
        <is>
          <t>(619) 724-8444</t>
        </is>
      </c>
      <c r="K11" t="inlineStr">
        <is>
          <t>Nguyenly0818@yahoo.com</t>
        </is>
      </c>
      <c r="L11" t="inlineStr">
        <is>
          <t>Pickleball</t>
        </is>
      </c>
      <c r="M11" t="inlineStr">
        <is>
          <t>Women</t>
        </is>
      </c>
      <c r="N11" t="inlineStr">
        <is>
          <t>Doubles</t>
        </is>
      </c>
      <c r="O11" t="inlineStr"/>
      <c r="P11" t="inlineStr">
        <is>
          <t>Katie Tu</t>
        </is>
      </c>
    </row>
    <row r="12">
      <c r="A12" t="inlineStr">
        <is>
          <t>SDC</t>
        </is>
      </c>
      <c r="B12" t="inlineStr">
        <is>
          <t>3554516</t>
        </is>
      </c>
      <c r="C12" t="inlineStr">
        <is>
          <t>83</t>
        </is>
      </c>
      <c r="D12" t="inlineStr">
        <is>
          <t>validated</t>
        </is>
      </c>
      <c r="E12" t="b">
        <v>1</v>
      </c>
      <c r="F12">
        <f>IMAGE("https://chmeetings.blob.core.windows.net/846969/attachments/bqJr0cNbxkGuCD7FEwTwSg/5d344889-f820-4fd5-b45c-f7d157a0386e.jpg")</f>
        <v/>
      </c>
      <c r="G12" t="inlineStr">
        <is>
          <t>Tu Katie</t>
        </is>
      </c>
      <c r="H12" t="inlineStr">
        <is>
          <t>Female</t>
        </is>
      </c>
      <c r="I12" t="n">
        <v>23</v>
      </c>
      <c r="J12" t="inlineStr">
        <is>
          <t>(619) 514-9303</t>
        </is>
      </c>
      <c r="K12" t="inlineStr">
        <is>
          <t>katietuu@gmail.com</t>
        </is>
      </c>
      <c r="L12" t="inlineStr">
        <is>
          <t>Pickleball</t>
        </is>
      </c>
      <c r="M12" t="inlineStr">
        <is>
          <t>Women</t>
        </is>
      </c>
      <c r="N12" t="inlineStr">
        <is>
          <t>Doubles</t>
        </is>
      </c>
      <c r="O12" t="inlineStr"/>
      <c r="P12" t="inlineStr">
        <is>
          <t>Ly Nguyen</t>
        </is>
      </c>
    </row>
    <row r="13">
      <c r="A13" t="inlineStr">
        <is>
          <t>WSD</t>
        </is>
      </c>
      <c r="B13" t="inlineStr">
        <is>
          <t>3625889</t>
        </is>
      </c>
      <c r="C13" t="inlineStr">
        <is>
          <t>104</t>
        </is>
      </c>
      <c r="D13" t="inlineStr">
        <is>
          <t>validated</t>
        </is>
      </c>
      <c r="E13" t="b">
        <v>1</v>
      </c>
      <c r="F13">
        <f>IMAGE("https://chmeetings.blob.core.windows.net/846969/attachments/VduSCcfrdUWJ7gbl9GLKMw/75acb3df-696d-448f-8690-af924f8e215e.jpg")</f>
        <v/>
      </c>
      <c r="G13" t="inlineStr">
        <is>
          <t>Tran Timmy</t>
        </is>
      </c>
      <c r="H13" t="inlineStr">
        <is>
          <t>Male</t>
        </is>
      </c>
      <c r="I13" t="n">
        <v>19</v>
      </c>
      <c r="J13" t="inlineStr">
        <is>
          <t>(619) 719-0024</t>
        </is>
      </c>
      <c r="K13" t="inlineStr">
        <is>
          <t>timmyltran@gmail.com</t>
        </is>
      </c>
      <c r="L13" t="inlineStr">
        <is>
          <t>Pickleball</t>
        </is>
      </c>
      <c r="M13" t="inlineStr">
        <is>
          <t>Men</t>
        </is>
      </c>
      <c r="N13" t="inlineStr">
        <is>
          <t>Doubles</t>
        </is>
      </c>
      <c r="O13" t="inlineStr"/>
      <c r="P13" t="inlineStr">
        <is>
          <t>DT Van</t>
        </is>
      </c>
    </row>
  </sheetData>
  <autoFilter ref="A1:P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11.5" customWidth="1" min="7" max="7"/>
    <col width="4" customWidth="1" min="8" max="8"/>
    <col width="9" customWidth="1" min="9" max="9"/>
    <col width="9" customWidth="1" min="10" max="10"/>
    <col width="15" customWidth="1" min="11" max="11"/>
    <col width="8" customWidth="1" min="12" max="12"/>
    <col width="8" customWidth="1" min="13" max="13"/>
    <col width="5.5" customWidth="1" min="14" max="14"/>
    <col width="7" customWidth="1" min="15" max="15"/>
    <col width="8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FVC</t>
        </is>
      </c>
      <c r="B2" t="inlineStr">
        <is>
          <t>3610914</t>
        </is>
      </c>
      <c r="C2" t="inlineStr">
        <is>
          <t>64</t>
        </is>
      </c>
      <c r="D2" t="inlineStr">
        <is>
          <t>validated</t>
        </is>
      </c>
      <c r="E2" t="b">
        <v>1</v>
      </c>
      <c r="F2">
        <f>IMAGE("https://chmeetings.blob.core.windows.net/846969/attachments/lN4DcHc006cgfECjmFHA/ffef9c1f-80b5-4973-9c35-271cc20fcf5b.jpg")</f>
        <v/>
      </c>
      <c r="G2" t="inlineStr">
        <is>
          <t>Nguyen Isaiah</t>
        </is>
      </c>
      <c r="H2" t="inlineStr">
        <is>
          <t>Male</t>
        </is>
      </c>
      <c r="I2" t="n">
        <v>23</v>
      </c>
      <c r="J2" t="inlineStr">
        <is>
          <t>(804) 549-2196</t>
        </is>
      </c>
      <c r="K2" t="inlineStr">
        <is>
          <t>Mylife2ezz@gmail.com</t>
        </is>
      </c>
      <c r="L2" t="inlineStr">
        <is>
          <t>Table Tennis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3610915</t>
        </is>
      </c>
      <c r="C3" t="inlineStr">
        <is>
          <t>55</t>
        </is>
      </c>
      <c r="D3" t="inlineStr">
        <is>
          <t>validated</t>
        </is>
      </c>
      <c r="E3" t="b">
        <v>1</v>
      </c>
      <c r="F3">
        <f>IMAGE("https://chmeetings.blob.core.windows.net/846969/attachments/4FXwXlnpfkCUWrqQHd3hyA/e34c034d-999f-4910-8e93-b20c75a2480d.jpg")</f>
        <v/>
      </c>
      <c r="G3" t="inlineStr">
        <is>
          <t>Dang Joshua</t>
        </is>
      </c>
      <c r="H3" t="inlineStr">
        <is>
          <t>Male</t>
        </is>
      </c>
      <c r="I3" t="n">
        <v>20</v>
      </c>
      <c r="J3" t="inlineStr">
        <is>
          <t>(669) 207-9451</t>
        </is>
      </c>
      <c r="K3" t="inlineStr">
        <is>
          <t>joshdang336@gmail.com</t>
        </is>
      </c>
      <c r="L3" t="inlineStr">
        <is>
          <t>Table Tennis</t>
        </is>
      </c>
      <c r="M3" t="inlineStr">
        <is>
          <t>Men</t>
        </is>
      </c>
      <c r="N3" t="inlineStr">
        <is>
          <t>Doubles</t>
        </is>
      </c>
      <c r="O3" t="inlineStr"/>
      <c r="P3" t="inlineStr">
        <is>
          <t>Noah Vo</t>
        </is>
      </c>
    </row>
    <row r="4">
      <c r="A4" t="inlineStr">
        <is>
          <t>GAC</t>
        </is>
      </c>
      <c r="B4" t="inlineStr">
        <is>
          <t>3610915</t>
        </is>
      </c>
      <c r="C4" t="inlineStr">
        <is>
          <t>55</t>
        </is>
      </c>
      <c r="D4" t="inlineStr">
        <is>
          <t>validated</t>
        </is>
      </c>
      <c r="E4" t="b">
        <v>1</v>
      </c>
      <c r="F4">
        <f>IMAGE("https://chmeetings.blob.core.windows.net/846969/attachments/4FXwXlnpfkCUWrqQHd3hyA/e34c034d-999f-4910-8e93-b20c75a2480d.jpg")</f>
        <v/>
      </c>
      <c r="G4" t="inlineStr">
        <is>
          <t>Dang Joshua</t>
        </is>
      </c>
      <c r="H4" t="inlineStr">
        <is>
          <t>Male</t>
        </is>
      </c>
      <c r="I4" t="n">
        <v>20</v>
      </c>
      <c r="J4" t="inlineStr">
        <is>
          <t>(669) 207-9451</t>
        </is>
      </c>
      <c r="K4" t="inlineStr">
        <is>
          <t>joshdang336@gmail.com</t>
        </is>
      </c>
      <c r="L4" t="inlineStr">
        <is>
          <t>Table Tennis</t>
        </is>
      </c>
      <c r="M4" t="inlineStr">
        <is>
          <t>Men</t>
        </is>
      </c>
      <c r="N4" t="inlineStr">
        <is>
          <t>Singles</t>
        </is>
      </c>
      <c r="O4" t="inlineStr"/>
      <c r="P4" t="inlineStr"/>
    </row>
    <row r="5">
      <c r="A5" t="inlineStr">
        <is>
          <t>GAC</t>
        </is>
      </c>
      <c r="B5" t="inlineStr">
        <is>
          <t>3610918</t>
        </is>
      </c>
      <c r="C5" t="inlineStr">
        <is>
          <t>108</t>
        </is>
      </c>
      <c r="D5" t="inlineStr">
        <is>
          <t>pending</t>
        </is>
      </c>
      <c r="E5" t="b">
        <v>1</v>
      </c>
      <c r="F5">
        <f>IMAGE("https://chmeetings.blob.core.windows.net/846969/attachments/EGfLYzrf4UuvbrSrl3fCuQ/a15519c8-561a-4090-ae77-e8e26bc544a0.jpg")</f>
        <v/>
      </c>
      <c r="G5" t="inlineStr">
        <is>
          <t>Pham Justtin</t>
        </is>
      </c>
      <c r="H5" t="inlineStr">
        <is>
          <t>Male</t>
        </is>
      </c>
      <c r="I5" t="n">
        <v>15</v>
      </c>
      <c r="J5" t="inlineStr">
        <is>
          <t>(925) 406-9096</t>
        </is>
      </c>
      <c r="K5" t="inlineStr">
        <is>
          <t>justjusttinpham@gmail.com</t>
        </is>
      </c>
      <c r="L5" t="inlineStr">
        <is>
          <t>Table Tennis</t>
        </is>
      </c>
      <c r="M5" t="inlineStr">
        <is>
          <t>Men</t>
        </is>
      </c>
      <c r="N5" t="inlineStr">
        <is>
          <t>Doubles</t>
        </is>
      </c>
      <c r="O5" t="inlineStr"/>
      <c r="P5" t="inlineStr">
        <is>
          <t>Phillip Tran</t>
        </is>
      </c>
    </row>
    <row r="6">
      <c r="A6" t="inlineStr">
        <is>
          <t>GAC</t>
        </is>
      </c>
      <c r="B6" t="inlineStr">
        <is>
          <t>3610918</t>
        </is>
      </c>
      <c r="C6" t="inlineStr">
        <is>
          <t>108</t>
        </is>
      </c>
      <c r="D6" t="inlineStr">
        <is>
          <t>pending</t>
        </is>
      </c>
      <c r="E6" t="b">
        <v>1</v>
      </c>
      <c r="F6">
        <f>IMAGE("https://chmeetings.blob.core.windows.net/846969/attachments/EGfLYzrf4UuvbrSrl3fCuQ/a15519c8-561a-4090-ae77-e8e26bc544a0.jpg")</f>
        <v/>
      </c>
      <c r="G6" t="inlineStr">
        <is>
          <t>Pham Justtin</t>
        </is>
      </c>
      <c r="H6" t="inlineStr">
        <is>
          <t>Male</t>
        </is>
      </c>
      <c r="I6" t="n">
        <v>15</v>
      </c>
      <c r="J6" t="inlineStr">
        <is>
          <t>(925) 406-9096</t>
        </is>
      </c>
      <c r="K6" t="inlineStr">
        <is>
          <t>justjusttinpham@gmail.com</t>
        </is>
      </c>
      <c r="L6" t="inlineStr">
        <is>
          <t>Table Tennis</t>
        </is>
      </c>
      <c r="M6" t="inlineStr">
        <is>
          <t>Men</t>
        </is>
      </c>
      <c r="N6" t="inlineStr">
        <is>
          <t>Singles</t>
        </is>
      </c>
      <c r="O6" t="inlineStr"/>
      <c r="P6" t="inlineStr"/>
    </row>
    <row r="7">
      <c r="A7" t="inlineStr">
        <is>
          <t>GAC</t>
        </is>
      </c>
      <c r="B7" t="inlineStr">
        <is>
          <t>3618804</t>
        </is>
      </c>
      <c r="C7" t="inlineStr">
        <is>
          <t>111</t>
        </is>
      </c>
      <c r="D7" t="inlineStr">
        <is>
          <t>pending</t>
        </is>
      </c>
      <c r="E7" t="b">
        <v>1</v>
      </c>
      <c r="F7">
        <f>IMAGE("https://chmeetings.blob.core.windows.net/846969/attachments/fa57rd7DEUi3wuhMi4fndw/4e49d748-6cc9-4bf5-a217-81f093199461.jpg")</f>
        <v/>
      </c>
      <c r="G7" t="inlineStr">
        <is>
          <t>Tran Phillip</t>
        </is>
      </c>
      <c r="H7" t="inlineStr">
        <is>
          <t>Male</t>
        </is>
      </c>
      <c r="I7" t="n">
        <v>15</v>
      </c>
      <c r="J7" t="inlineStr">
        <is>
          <t>(408) 616-9839</t>
        </is>
      </c>
      <c r="K7" t="inlineStr">
        <is>
          <t>phillipissupercool538@gmail.com</t>
        </is>
      </c>
      <c r="L7" t="inlineStr">
        <is>
          <t>Table Tennis</t>
        </is>
      </c>
      <c r="M7" t="inlineStr">
        <is>
          <t>Men</t>
        </is>
      </c>
      <c r="N7" t="inlineStr">
        <is>
          <t>Doubles</t>
        </is>
      </c>
      <c r="O7" t="inlineStr"/>
      <c r="P7" t="inlineStr">
        <is>
          <t>Justtin Pham</t>
        </is>
      </c>
    </row>
    <row r="8">
      <c r="A8" t="inlineStr">
        <is>
          <t>GAC</t>
        </is>
      </c>
      <c r="B8" t="inlineStr">
        <is>
          <t>3618804</t>
        </is>
      </c>
      <c r="C8" t="inlineStr">
        <is>
          <t>111</t>
        </is>
      </c>
      <c r="D8" t="inlineStr">
        <is>
          <t>pending</t>
        </is>
      </c>
      <c r="E8" t="b">
        <v>1</v>
      </c>
      <c r="F8">
        <f>IMAGE("https://chmeetings.blob.core.windows.net/846969/attachments/fa57rd7DEUi3wuhMi4fndw/4e49d748-6cc9-4bf5-a217-81f093199461.jpg")</f>
        <v/>
      </c>
      <c r="G8" t="inlineStr">
        <is>
          <t>Tran Phillip</t>
        </is>
      </c>
      <c r="H8" t="inlineStr">
        <is>
          <t>Male</t>
        </is>
      </c>
      <c r="I8" t="n">
        <v>15</v>
      </c>
      <c r="J8" t="inlineStr">
        <is>
          <t>(408) 616-9839</t>
        </is>
      </c>
      <c r="K8" t="inlineStr">
        <is>
          <t>phillipissupercool538@gmail.com</t>
        </is>
      </c>
      <c r="L8" t="inlineStr">
        <is>
          <t>Table Tennis</t>
        </is>
      </c>
      <c r="M8" t="inlineStr">
        <is>
          <t>Men</t>
        </is>
      </c>
      <c r="N8" t="inlineStr">
        <is>
          <t>Singles</t>
        </is>
      </c>
      <c r="O8" t="inlineStr"/>
      <c r="P8" t="inlineStr"/>
    </row>
    <row r="9">
      <c r="A9" t="inlineStr">
        <is>
          <t>GAC</t>
        </is>
      </c>
      <c r="B9" t="inlineStr">
        <is>
          <t>3610919</t>
        </is>
      </c>
      <c r="C9" t="inlineStr">
        <is>
          <t>60</t>
        </is>
      </c>
      <c r="D9" t="inlineStr">
        <is>
          <t>pending</t>
        </is>
      </c>
      <c r="E9" t="b">
        <v>1</v>
      </c>
      <c r="F9">
        <f>IMAGE("https://chmeetings.blob.core.windows.net/846969/attachments/5eKHOYUtGk6OW2Yv9KYF7Q/38b6a312-42c2-45d1-bf6e-ff86f4ceeca3.jpg")</f>
        <v/>
      </c>
      <c r="G9" t="inlineStr">
        <is>
          <t>Vo Noah</t>
        </is>
      </c>
      <c r="H9" t="inlineStr">
        <is>
          <t>Male</t>
        </is>
      </c>
      <c r="I9" t="n">
        <v>16</v>
      </c>
      <c r="J9" t="inlineStr">
        <is>
          <t>(510) 605-8983</t>
        </is>
      </c>
      <c r="K9" t="inlineStr">
        <is>
          <t>noahhappysmiles@gmail.com</t>
        </is>
      </c>
      <c r="L9" t="inlineStr">
        <is>
          <t>Table Tennis</t>
        </is>
      </c>
      <c r="M9" t="inlineStr">
        <is>
          <t>Men</t>
        </is>
      </c>
      <c r="N9" t="inlineStr">
        <is>
          <t>Doubles</t>
        </is>
      </c>
      <c r="O9" t="inlineStr"/>
      <c r="P9" t="inlineStr">
        <is>
          <t>Josh Deng</t>
        </is>
      </c>
    </row>
    <row r="10">
      <c r="A10" t="inlineStr">
        <is>
          <t>GLA</t>
        </is>
      </c>
      <c r="B10" t="inlineStr">
        <is>
          <t>3629646</t>
        </is>
      </c>
      <c r="C10" t="inlineStr">
        <is>
          <t>41</t>
        </is>
      </c>
      <c r="D10" t="inlineStr">
        <is>
          <t>pending</t>
        </is>
      </c>
      <c r="E10" t="b">
        <v>1</v>
      </c>
      <c r="F10">
        <f>IMAGE("https://chmeetings.blob.core.windows.net/846969/attachments/WfQk1w0b0O76DBIEeFaag/f6059547-2901-4815-b55d-66de1acd7f37.jpg")</f>
        <v/>
      </c>
      <c r="G10" t="inlineStr">
        <is>
          <t>Le Timothy</t>
        </is>
      </c>
      <c r="H10" t="inlineStr">
        <is>
          <t>Male</t>
        </is>
      </c>
      <c r="I10" t="n">
        <v>14</v>
      </c>
      <c r="J10" t="inlineStr">
        <is>
          <t>(747) 236-9493</t>
        </is>
      </c>
      <c r="K10" t="inlineStr">
        <is>
          <t>tle0168@mymail.lausd.net</t>
        </is>
      </c>
      <c r="L10" t="inlineStr">
        <is>
          <t>Table Tennis</t>
        </is>
      </c>
      <c r="M10" t="inlineStr">
        <is>
          <t>Men</t>
        </is>
      </c>
      <c r="N10" t="inlineStr">
        <is>
          <t>Singles</t>
        </is>
      </c>
      <c r="O10" t="inlineStr"/>
      <c r="P10" t="inlineStr"/>
    </row>
    <row r="11">
      <c r="A11" t="inlineStr">
        <is>
          <t>GLA</t>
        </is>
      </c>
      <c r="B11" t="inlineStr">
        <is>
          <t>3615945</t>
        </is>
      </c>
      <c r="C11" t="inlineStr">
        <is>
          <t>38</t>
        </is>
      </c>
      <c r="D11" t="inlineStr">
        <is>
          <t>pending</t>
        </is>
      </c>
      <c r="E11" t="b">
        <v>1</v>
      </c>
      <c r="F11">
        <f>IMAGE("https://chmeetings.blob.core.windows.net/846969/attachments/m8ZIG9l0q0SQqgX5gZgIiw/bfdaebb3-efb9-4138-83ee-93fa773220cd.jpg")</f>
        <v/>
      </c>
      <c r="G11" t="inlineStr">
        <is>
          <t>Nguyen Noah</t>
        </is>
      </c>
      <c r="H11" t="inlineStr">
        <is>
          <t>Male</t>
        </is>
      </c>
      <c r="I11" t="n">
        <v>16</v>
      </c>
      <c r="J11" t="inlineStr">
        <is>
          <t>(818) 471-6453</t>
        </is>
      </c>
      <c r="K11" t="inlineStr">
        <is>
          <t>nnguyen0063@mymail.lausd.net</t>
        </is>
      </c>
      <c r="L11" t="inlineStr">
        <is>
          <t>Table Tennis</t>
        </is>
      </c>
      <c r="M11" t="inlineStr">
        <is>
          <t>Men</t>
        </is>
      </c>
      <c r="N11" t="inlineStr">
        <is>
          <t>Doubles</t>
        </is>
      </c>
      <c r="O11" t="inlineStr"/>
      <c r="P11" t="inlineStr">
        <is>
          <t>Jeff Dang</t>
        </is>
      </c>
    </row>
    <row r="12">
      <c r="A12" t="inlineStr">
        <is>
          <t>LBC</t>
        </is>
      </c>
      <c r="B12" t="inlineStr">
        <is>
          <t>3476642</t>
        </is>
      </c>
      <c r="C12" t="inlineStr">
        <is>
          <t>69</t>
        </is>
      </c>
      <c r="D12" t="inlineStr">
        <is>
          <t>validated</t>
        </is>
      </c>
      <c r="E12" t="b">
        <v>1</v>
      </c>
      <c r="F12">
        <f>IMAGE("https://chmeetings.blob.core.windows.net/846969/attachments/ywIVZ4GlH0WBlvelRjagw/64ae18f7-a8c2-40c7-94ad-0f5b09d44ccc.jpg")</f>
        <v/>
      </c>
      <c r="G12" t="inlineStr">
        <is>
          <t>Nguyen Annette</t>
        </is>
      </c>
      <c r="H12" t="inlineStr">
        <is>
          <t>Female</t>
        </is>
      </c>
      <c r="I12" t="n">
        <v>22</v>
      </c>
      <c r="J12" t="inlineStr">
        <is>
          <t>(424) 309-4723</t>
        </is>
      </c>
      <c r="K12" t="inlineStr">
        <is>
          <t>annettenguyen18@gmail.com</t>
        </is>
      </c>
      <c r="L12" t="inlineStr">
        <is>
          <t>Table Tennis</t>
        </is>
      </c>
      <c r="M12" t="inlineStr">
        <is>
          <t>Women</t>
        </is>
      </c>
      <c r="N12" t="inlineStr">
        <is>
          <t>Doubles</t>
        </is>
      </c>
      <c r="O12" t="inlineStr"/>
      <c r="P12" t="inlineStr"/>
    </row>
    <row r="13">
      <c r="A13" t="inlineStr">
        <is>
          <t>RPC</t>
        </is>
      </c>
      <c r="B13" t="inlineStr">
        <is>
          <t>3555636</t>
        </is>
      </c>
      <c r="C13" t="inlineStr">
        <is>
          <t>8</t>
        </is>
      </c>
      <c r="D13" t="inlineStr">
        <is>
          <t>pending_approval</t>
        </is>
      </c>
      <c r="E13" t="b">
        <v>1</v>
      </c>
      <c r="F13">
        <f>IMAGE("https://chmeetings.blob.core.windows.net/846969/attachments/36FhCP1SVUOsQR7N2tJn1w/7ea62dc3-e494-43d3-847e-27ce2f1891cb.jpg")</f>
        <v/>
      </c>
      <c r="G13" t="inlineStr">
        <is>
          <t>Nguyen James</t>
        </is>
      </c>
      <c r="H13" t="inlineStr">
        <is>
          <t>Male</t>
        </is>
      </c>
      <c r="I13" t="n">
        <v>19</v>
      </c>
      <c r="J13" t="inlineStr">
        <is>
          <t>(657) 678-8212</t>
        </is>
      </c>
      <c r="K13" t="inlineStr">
        <is>
          <t>jamesthesplashdog12345678@gmail.com</t>
        </is>
      </c>
      <c r="L13" t="inlineStr">
        <is>
          <t>Table Tennis</t>
        </is>
      </c>
      <c r="M13" t="inlineStr">
        <is>
          <t>Men</t>
        </is>
      </c>
      <c r="N13" t="inlineStr">
        <is>
          <t>Singles</t>
        </is>
      </c>
      <c r="O13" t="inlineStr"/>
      <c r="P13" t="inlineStr"/>
    </row>
    <row r="14">
      <c r="A14" t="inlineStr">
        <is>
          <t>RPC</t>
        </is>
      </c>
      <c r="B14" t="inlineStr">
        <is>
          <t>3636092</t>
        </is>
      </c>
      <c r="C14" t="inlineStr">
        <is>
          <t>76</t>
        </is>
      </c>
      <c r="D14" t="inlineStr">
        <is>
          <t>validated</t>
        </is>
      </c>
      <c r="E14" t="b">
        <v>1</v>
      </c>
      <c r="F14">
        <f>IMAGE("https://chmeetings.blob.core.windows.net/846969/attachments/QKmokAHgD0CRoagnLQrkgw/bafd016a-9ab5-4d54-abbf-d878d7795f2a.jpg")</f>
        <v/>
      </c>
      <c r="G14" t="inlineStr">
        <is>
          <t>ly jennifer</t>
        </is>
      </c>
      <c r="H14" t="inlineStr">
        <is>
          <t>Female</t>
        </is>
      </c>
      <c r="I14" t="n">
        <v>21</v>
      </c>
      <c r="J14" t="inlineStr">
        <is>
          <t>(714) 331-4416</t>
        </is>
      </c>
      <c r="K14" t="inlineStr">
        <is>
          <t>jefferly7899@gmail.com</t>
        </is>
      </c>
      <c r="L14" t="inlineStr">
        <is>
          <t>Table Tennis</t>
        </is>
      </c>
      <c r="M14" t="inlineStr">
        <is>
          <t>Women</t>
        </is>
      </c>
      <c r="N14" t="inlineStr">
        <is>
          <t>Singles</t>
        </is>
      </c>
      <c r="O14" t="inlineStr"/>
      <c r="P14" t="inlineStr"/>
    </row>
    <row r="15">
      <c r="A15" t="inlineStr">
        <is>
          <t>SDC</t>
        </is>
      </c>
      <c r="B15" t="inlineStr">
        <is>
          <t>3634404</t>
        </is>
      </c>
      <c r="C15" t="inlineStr">
        <is>
          <t>21</t>
        </is>
      </c>
      <c r="D15" t="inlineStr">
        <is>
          <t>validated</t>
        </is>
      </c>
      <c r="E15" t="b">
        <v>1</v>
      </c>
      <c r="F15">
        <f>IMAGE("https://chmeetings.blob.core.windows.net/846969/attachments/Ws07x9gR0wAZUSi1q5NQ/dfab0bcf-a4de-43d1-9a71-2a3478c9db6c.jpg")</f>
        <v/>
      </c>
      <c r="G15" t="inlineStr">
        <is>
          <t>Cruz Matias Kenneth</t>
        </is>
      </c>
      <c r="H15" t="inlineStr">
        <is>
          <t>Male</t>
        </is>
      </c>
      <c r="I15" t="n">
        <v>23</v>
      </c>
      <c r="J15" t="inlineStr">
        <is>
          <t>(442) 237-8092</t>
        </is>
      </c>
      <c r="K15" t="inlineStr">
        <is>
          <t>cruzmatiaskenny8@gmail.com</t>
        </is>
      </c>
      <c r="L15" t="inlineStr">
        <is>
          <t>Table Tennis</t>
        </is>
      </c>
      <c r="M15" t="inlineStr">
        <is>
          <t>Men</t>
        </is>
      </c>
      <c r="N15" t="inlineStr">
        <is>
          <t>Doubles</t>
        </is>
      </c>
      <c r="O15" t="inlineStr"/>
      <c r="P15" t="inlineStr">
        <is>
          <t>John Huang Le</t>
        </is>
      </c>
    </row>
    <row r="16">
      <c r="A16" t="inlineStr">
        <is>
          <t>SDC</t>
        </is>
      </c>
      <c r="B16" t="inlineStr">
        <is>
          <t>3634404</t>
        </is>
      </c>
      <c r="C16" t="inlineStr">
        <is>
          <t>21</t>
        </is>
      </c>
      <c r="D16" t="inlineStr">
        <is>
          <t>validated</t>
        </is>
      </c>
      <c r="E16" t="b">
        <v>1</v>
      </c>
      <c r="F16">
        <f>IMAGE("https://chmeetings.blob.core.windows.net/846969/attachments/Ws07x9gR0wAZUSi1q5NQ/dfab0bcf-a4de-43d1-9a71-2a3478c9db6c.jpg")</f>
        <v/>
      </c>
      <c r="G16" t="inlineStr">
        <is>
          <t>Cruz Matias Kenneth</t>
        </is>
      </c>
      <c r="H16" t="inlineStr">
        <is>
          <t>Male</t>
        </is>
      </c>
      <c r="I16" t="n">
        <v>23</v>
      </c>
      <c r="J16" t="inlineStr">
        <is>
          <t>(442) 237-8092</t>
        </is>
      </c>
      <c r="K16" t="inlineStr">
        <is>
          <t>cruzmatiaskenny8@gmail.com</t>
        </is>
      </c>
      <c r="L16" t="inlineStr">
        <is>
          <t>Table Tennis</t>
        </is>
      </c>
      <c r="M16" t="inlineStr">
        <is>
          <t>Men</t>
        </is>
      </c>
      <c r="N16" t="inlineStr">
        <is>
          <t>Singles</t>
        </is>
      </c>
      <c r="O16" t="inlineStr"/>
      <c r="P16" t="inlineStr"/>
    </row>
  </sheetData>
  <autoFilter ref="A1:P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9.5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3615957</t>
        </is>
      </c>
      <c r="C2" t="inlineStr">
        <is>
          <t>110</t>
        </is>
      </c>
      <c r="D2" t="inlineStr">
        <is>
          <t>validated</t>
        </is>
      </c>
      <c r="E2" t="b">
        <v>1</v>
      </c>
      <c r="F2">
        <f>IMAGE("https://chmeetings.blob.core.windows.net/846969/attachments/Kdpjhjg39UmtS12V5Nbyyg/bbe6199a-c907-413d-b103-9e4128d54753.jpg")</f>
        <v/>
      </c>
      <c r="G2" t="inlineStr">
        <is>
          <t>Bui Minhthu</t>
        </is>
      </c>
      <c r="H2" t="inlineStr">
        <is>
          <t>Female</t>
        </is>
      </c>
      <c r="I2" t="n">
        <v>34</v>
      </c>
      <c r="J2" t="inlineStr">
        <is>
          <t>(714) 548-5798</t>
        </is>
      </c>
      <c r="K2" t="inlineStr">
        <is>
          <t>Mtbui03@gmail.com</t>
        </is>
      </c>
      <c r="L2" t="inlineStr">
        <is>
          <t>Bible Challenge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3624650</t>
        </is>
      </c>
      <c r="C3" t="inlineStr">
        <is>
          <t>113</t>
        </is>
      </c>
      <c r="D3" t="inlineStr">
        <is>
          <t>validated</t>
        </is>
      </c>
      <c r="E3" t="b">
        <v>1</v>
      </c>
      <c r="F3">
        <f>IMAGE("https://chmeetings.blob.core.windows.net/846969/attachments/WE2MhiU60KpfrwsRDOWw/80708536-016c-42fa-95f4-079cf3a43697.jpg")</f>
        <v/>
      </c>
      <c r="G3" t="inlineStr">
        <is>
          <t>Nguyen Tiffany</t>
        </is>
      </c>
      <c r="H3" t="inlineStr">
        <is>
          <t>Female</t>
        </is>
      </c>
      <c r="I3" t="n">
        <v>21</v>
      </c>
      <c r="J3" t="inlineStr">
        <is>
          <t>(669) 215-5720</t>
        </is>
      </c>
      <c r="K3" t="inlineStr">
        <is>
          <t>tiffanyashlyn@gmail.com</t>
        </is>
      </c>
      <c r="L3" t="inlineStr">
        <is>
          <t>Bible Challenge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3610917</t>
        </is>
      </c>
      <c r="C4" t="inlineStr">
        <is>
          <t>56</t>
        </is>
      </c>
      <c r="D4" t="inlineStr">
        <is>
          <t>validated</t>
        </is>
      </c>
      <c r="E4" t="b">
        <v>1</v>
      </c>
      <c r="F4">
        <f>IMAGE("https://chmeetings.blob.core.windows.net/846969/attachments/dbPn6hwRbUmuEMeKWTNWxg/56cb0979-8b71-4c8e-9f5b-db9d018e400f.jpg")</f>
        <v/>
      </c>
      <c r="G4" t="inlineStr">
        <is>
          <t>Vo Kayla</t>
        </is>
      </c>
      <c r="H4" t="inlineStr">
        <is>
          <t>Female</t>
        </is>
      </c>
      <c r="I4" t="n">
        <v>19</v>
      </c>
      <c r="J4" t="inlineStr">
        <is>
          <t>(510) 774-2614</t>
        </is>
      </c>
      <c r="K4" t="inlineStr">
        <is>
          <t>kaimyvo@gmail.com</t>
        </is>
      </c>
      <c r="L4" t="inlineStr">
        <is>
          <t>Bible Challenge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GLA</t>
        </is>
      </c>
      <c r="B5" t="inlineStr">
        <is>
          <t>3622669</t>
        </is>
      </c>
      <c r="C5" t="inlineStr">
        <is>
          <t>35</t>
        </is>
      </c>
      <c r="D5" t="inlineStr">
        <is>
          <t>pending_approval</t>
        </is>
      </c>
      <c r="E5" t="b">
        <v>1</v>
      </c>
      <c r="F5">
        <f>IMAGE("https://chmeetings.blob.core.windows.net/846969/attachments/uJkCrgqNzkSEZSsvBrzxzg/dd65d621-0f48-4d4b-bceb-4bdde79b8168.jpg")</f>
        <v/>
      </c>
      <c r="G5" t="inlineStr">
        <is>
          <t>Huynh Brittany</t>
        </is>
      </c>
      <c r="H5" t="inlineStr">
        <is>
          <t>Female</t>
        </is>
      </c>
      <c r="I5" t="n">
        <v>28</v>
      </c>
      <c r="J5" t="inlineStr">
        <is>
          <t>(818) 681-6010</t>
        </is>
      </c>
      <c r="K5" t="inlineStr">
        <is>
          <t>brittany.huynh08@gmail.com</t>
        </is>
      </c>
      <c r="L5" t="inlineStr">
        <is>
          <t>Bible Challenge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GLA</t>
        </is>
      </c>
      <c r="B6" t="inlineStr">
        <is>
          <t>3615916</t>
        </is>
      </c>
      <c r="C6" t="inlineStr">
        <is>
          <t>40</t>
        </is>
      </c>
      <c r="D6" t="inlineStr">
        <is>
          <t>pending_approval</t>
        </is>
      </c>
      <c r="E6" t="b">
        <v>1</v>
      </c>
      <c r="F6">
        <f>IMAGE("https://chmeetings.blob.core.windows.net/846969/attachments/kZ8EYhJrK02XqidXFTFjaA/a31be902-82b7-46d4-99d9-bcb4f0d9a080.jpg")</f>
        <v/>
      </c>
      <c r="G6" t="inlineStr">
        <is>
          <t>Mai Thu</t>
        </is>
      </c>
      <c r="H6" t="inlineStr">
        <is>
          <t>Male</t>
        </is>
      </c>
      <c r="I6" t="n">
        <v>30</v>
      </c>
      <c r="J6" t="inlineStr">
        <is>
          <t>(213) 550-6758</t>
        </is>
      </c>
      <c r="K6" t="inlineStr">
        <is>
          <t>Mai2twix@gmail.com</t>
        </is>
      </c>
      <c r="L6" t="inlineStr">
        <is>
          <t>Bible Challenge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GLA</t>
        </is>
      </c>
      <c r="B7" t="inlineStr">
        <is>
          <t>3476631</t>
        </is>
      </c>
      <c r="C7" t="inlineStr">
        <is>
          <t>39</t>
        </is>
      </c>
      <c r="D7" t="inlineStr">
        <is>
          <t>validated</t>
        </is>
      </c>
      <c r="E7" t="b">
        <v>1</v>
      </c>
      <c r="F7">
        <f>IMAGE("https://chmeetings.blob.core.windows.net/846969/attachments/CakuT0nFcE6wgbtq4gPaVg/94bed426-bace-4116-89e1-37cf2dfbec3c.jpg")</f>
        <v/>
      </c>
      <c r="G7" t="inlineStr">
        <is>
          <t>Nguyen Rebecca</t>
        </is>
      </c>
      <c r="H7" t="inlineStr">
        <is>
          <t>Female</t>
        </is>
      </c>
      <c r="I7" t="n">
        <v>24</v>
      </c>
      <c r="J7" t="inlineStr">
        <is>
          <t>(818) 212-8589</t>
        </is>
      </c>
      <c r="K7" t="inlineStr">
        <is>
          <t>rebeccanguyen0621@gmail.com</t>
        </is>
      </c>
      <c r="L7" t="inlineStr">
        <is>
          <t>Bible Challenge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LBC</t>
        </is>
      </c>
      <c r="B8" t="inlineStr">
        <is>
          <t>3476642</t>
        </is>
      </c>
      <c r="C8" t="inlineStr">
        <is>
          <t>69</t>
        </is>
      </c>
      <c r="D8" t="inlineStr">
        <is>
          <t>validated</t>
        </is>
      </c>
      <c r="E8" t="b">
        <v>1</v>
      </c>
      <c r="F8">
        <f>IMAGE("https://chmeetings.blob.core.windows.net/846969/attachments/ywIVZ4GlH0WBlvelRjagw/64ae18f7-a8c2-40c7-94ad-0f5b09d44ccc.jpg")</f>
        <v/>
      </c>
      <c r="G8" t="inlineStr">
        <is>
          <t>Nguyen Annette</t>
        </is>
      </c>
      <c r="H8" t="inlineStr">
        <is>
          <t>Female</t>
        </is>
      </c>
      <c r="I8" t="n">
        <v>22</v>
      </c>
      <c r="J8" t="inlineStr">
        <is>
          <t>(424) 309-4723</t>
        </is>
      </c>
      <c r="K8" t="inlineStr">
        <is>
          <t>annettenguyen18@gmail.com</t>
        </is>
      </c>
      <c r="L8" t="inlineStr">
        <is>
          <t>Bible Challenge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MWC</t>
        </is>
      </c>
      <c r="B9" t="inlineStr">
        <is>
          <t>4363692</t>
        </is>
      </c>
      <c r="C9" t="inlineStr">
        <is>
          <t>119</t>
        </is>
      </c>
      <c r="D9" t="inlineStr">
        <is>
          <t>validated</t>
        </is>
      </c>
      <c r="E9" t="b">
        <v>1</v>
      </c>
      <c r="F9">
        <f>IMAGE("https://chmeetings.blob.core.windows.net/846969/attachments/6LKiSjJdRkWdjj89jvYwA/c73829bb-5793-49aa-862f-26c7d3b3b76b.jpg")</f>
        <v/>
      </c>
      <c r="G9" t="inlineStr">
        <is>
          <t>Nguyen Clayton</t>
        </is>
      </c>
      <c r="H9" t="inlineStr">
        <is>
          <t>Male</t>
        </is>
      </c>
      <c r="I9" t="n">
        <v>18</v>
      </c>
      <c r="J9" t="inlineStr">
        <is>
          <t>17147507541</t>
        </is>
      </c>
      <c r="K9" t="inlineStr">
        <is>
          <t>pfahdm@gmail.com</t>
        </is>
      </c>
      <c r="L9" t="inlineStr">
        <is>
          <t>Bible Challenge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NHC</t>
        </is>
      </c>
      <c r="B10" t="inlineStr">
        <is>
          <t>3570849</t>
        </is>
      </c>
      <c r="C10" t="inlineStr">
        <is>
          <t>32</t>
        </is>
      </c>
      <c r="D10" t="inlineStr">
        <is>
          <t>validated</t>
        </is>
      </c>
      <c r="E10" t="b">
        <v>1</v>
      </c>
      <c r="F10">
        <f>IMAGE("https://chmeetings.blob.core.windows.net/846969/attachments/ImZkxkYEeJVq4IgCqawg/acea4bd7-c650-4527-8991-aa7a30072191.jpg")</f>
        <v/>
      </c>
      <c r="G10" t="inlineStr">
        <is>
          <t>Nguyen Faith</t>
        </is>
      </c>
      <c r="H10" t="inlineStr">
        <is>
          <t>Female</t>
        </is>
      </c>
      <c r="I10" t="n">
        <v>21</v>
      </c>
      <c r="J10" t="inlineStr">
        <is>
          <t>(818) 364-1995</t>
        </is>
      </c>
      <c r="K10" t="inlineStr">
        <is>
          <t>faithdnguyen@gmail.com</t>
        </is>
      </c>
      <c r="L10" t="inlineStr">
        <is>
          <t>Bible Challenge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NHC</t>
        </is>
      </c>
      <c r="B11" t="inlineStr">
        <is>
          <t>3630107</t>
        </is>
      </c>
      <c r="C11" t="inlineStr">
        <is>
          <t>33</t>
        </is>
      </c>
      <c r="D11" t="inlineStr">
        <is>
          <t>validated</t>
        </is>
      </c>
      <c r="E11" t="b">
        <v>1</v>
      </c>
      <c r="F11">
        <f>IMAGE("https://chmeetings.blob.core.windows.net/846969/attachments/B2AeM61EiaenvZFE5GJA/7474f516-6576-427d-817f-9e334bd24a36.jpg")</f>
        <v/>
      </c>
      <c r="G11" t="inlineStr">
        <is>
          <t>Nguyen Nhi</t>
        </is>
      </c>
      <c r="H11" t="inlineStr">
        <is>
          <t>Female</t>
        </is>
      </c>
      <c r="I11" t="n">
        <v>22</v>
      </c>
      <c r="J11" t="inlineStr">
        <is>
          <t>(818) 205-6576</t>
        </is>
      </c>
      <c r="K11" t="inlineStr">
        <is>
          <t>nhikneenguyen@gmail.com</t>
        </is>
      </c>
      <c r="L11" t="inlineStr">
        <is>
          <t>Bible Challenge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ORN</t>
        </is>
      </c>
      <c r="B12" t="inlineStr">
        <is>
          <t>3636312</t>
        </is>
      </c>
      <c r="C12" t="inlineStr">
        <is>
          <t>18</t>
        </is>
      </c>
      <c r="D12" t="inlineStr">
        <is>
          <t>validated</t>
        </is>
      </c>
      <c r="E12" t="b">
        <v>1</v>
      </c>
      <c r="F12">
        <f>IMAGE("https://chmeetings.blob.core.windows.net/846969/attachments/rmWCxWcMEGG5rXmhOlu0w/0885f487-e712-429a-b0e2-a388a96de779.jpg")</f>
        <v/>
      </c>
      <c r="G12" t="inlineStr">
        <is>
          <t>Ho Patrick</t>
        </is>
      </c>
      <c r="H12" t="inlineStr">
        <is>
          <t>Male</t>
        </is>
      </c>
      <c r="I12" t="n">
        <v>20</v>
      </c>
      <c r="J12" t="inlineStr">
        <is>
          <t>(840) 265-5989</t>
        </is>
      </c>
      <c r="K12" t="inlineStr">
        <is>
          <t>quangforwork105@gmail.com</t>
        </is>
      </c>
      <c r="L12" t="inlineStr">
        <is>
          <t>Bible Challenge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PCC</t>
        </is>
      </c>
      <c r="B13" t="inlineStr">
        <is>
          <t>3615926</t>
        </is>
      </c>
      <c r="C13" t="inlineStr">
        <is>
          <t>97</t>
        </is>
      </c>
      <c r="D13" t="inlineStr">
        <is>
          <t>validated</t>
        </is>
      </c>
      <c r="E13" t="b">
        <v>1</v>
      </c>
      <c r="F13">
        <f>IMAGE("https://chmeetings.blob.core.windows.net/846969/attachments/JQzE4BjkGi1nJQdHKtA/dda63993-8871-4240-91ab-97d72c1f74f0.jpg")</f>
        <v/>
      </c>
      <c r="G13" t="inlineStr">
        <is>
          <t>Huynh Paula</t>
        </is>
      </c>
      <c r="H13" t="inlineStr">
        <is>
          <t>Female</t>
        </is>
      </c>
      <c r="I13" t="n">
        <v>18</v>
      </c>
      <c r="J13" t="inlineStr">
        <is>
          <t>(858) 269-9236</t>
        </is>
      </c>
      <c r="K13" t="inlineStr">
        <is>
          <t>paula.huynh08@gmail.com</t>
        </is>
      </c>
      <c r="L13" t="inlineStr">
        <is>
          <t>Bible Challenge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PCC</t>
        </is>
      </c>
      <c r="B14" t="inlineStr">
        <is>
          <t>3615939</t>
        </is>
      </c>
      <c r="C14" t="inlineStr">
        <is>
          <t>103</t>
        </is>
      </c>
      <c r="D14" t="inlineStr">
        <is>
          <t>pending</t>
        </is>
      </c>
      <c r="E14" t="b">
        <v>1</v>
      </c>
      <c r="F14">
        <f>IMAGE("https://chmeetings.blob.core.windows.net/846969/attachments/mM0gFFZvK0y4fHMGqX3qIA/e2efb60e-cb30-4d10-8462-78bce218d675.jpg")</f>
        <v/>
      </c>
      <c r="G14" t="inlineStr">
        <is>
          <t>Vuong Victoria</t>
        </is>
      </c>
      <c r="H14" t="inlineStr">
        <is>
          <t>Female</t>
        </is>
      </c>
      <c r="I14" t="n">
        <v>15</v>
      </c>
      <c r="J14" t="inlineStr">
        <is>
          <t>(858) 780-6524</t>
        </is>
      </c>
      <c r="K14" t="inlineStr">
        <is>
          <t>victoria.vuongg11@gmail.com</t>
        </is>
      </c>
      <c r="L14" t="inlineStr">
        <is>
          <t>Bible Challenge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RPC</t>
        </is>
      </c>
      <c r="B15" t="inlineStr">
        <is>
          <t>3615935</t>
        </is>
      </c>
      <c r="C15" t="inlineStr">
        <is>
          <t>6</t>
        </is>
      </c>
      <c r="D15" t="inlineStr">
        <is>
          <t>pending_approval</t>
        </is>
      </c>
      <c r="E15" t="b">
        <v>1</v>
      </c>
      <c r="F15">
        <f>IMAGE("https://chmeetings.blob.core.windows.net/846969/attachments/WTqSOpU4yE2opCVCMF2sJQ/637a0ed2-2668-4583-ae97-66dbcfffa078.jpg")</f>
        <v/>
      </c>
      <c r="G15" t="inlineStr">
        <is>
          <t>Duong Emily</t>
        </is>
      </c>
      <c r="H15" t="inlineStr">
        <is>
          <t>Female</t>
        </is>
      </c>
      <c r="I15" t="n">
        <v>14</v>
      </c>
      <c r="J15" t="inlineStr">
        <is>
          <t>(714) 454-1390</t>
        </is>
      </c>
      <c r="K15" t="inlineStr">
        <is>
          <t>emilyduong411@gmail.com</t>
        </is>
      </c>
      <c r="L15" t="inlineStr">
        <is>
          <t>Bible Challenge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TLC</t>
        </is>
      </c>
      <c r="B16" t="inlineStr">
        <is>
          <t>3618802</t>
        </is>
      </c>
      <c r="C16" t="inlineStr">
        <is>
          <t>86</t>
        </is>
      </c>
      <c r="D16" t="inlineStr">
        <is>
          <t>validated</t>
        </is>
      </c>
      <c r="E16" t="b">
        <v>1</v>
      </c>
      <c r="F16">
        <f>IMAGE("https://chmeetings.blob.core.windows.net/846969/attachments/Nxtp9U9gCEiPsYqocAkaFg/2d0fe47c-8ab7-4c18-960f-181f8bdfeb61.jpg")</f>
        <v/>
      </c>
      <c r="G16" t="inlineStr">
        <is>
          <t>Dang Peter</t>
        </is>
      </c>
      <c r="H16" t="inlineStr">
        <is>
          <t>Male</t>
        </is>
      </c>
      <c r="I16" t="n">
        <v>26</v>
      </c>
      <c r="J16" t="inlineStr">
        <is>
          <t>(714) 589-7371</t>
        </is>
      </c>
      <c r="K16" t="inlineStr">
        <is>
          <t>Danghoaiminh@gmail.com</t>
        </is>
      </c>
      <c r="L16" t="inlineStr">
        <is>
          <t>Bible Challenge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TLC</t>
        </is>
      </c>
      <c r="B17" t="inlineStr">
        <is>
          <t>3618801</t>
        </is>
      </c>
      <c r="C17" t="inlineStr">
        <is>
          <t>87</t>
        </is>
      </c>
      <c r="D17" t="inlineStr">
        <is>
          <t>validated</t>
        </is>
      </c>
      <c r="E17" t="b">
        <v>1</v>
      </c>
      <c r="F17">
        <f>IMAGE("https://chmeetings.blob.core.windows.net/846969/attachments/IGfWpmInt0CaKkM3u2CxkA/5fe96a31-6f8d-4c09-90f8-d4aafca24385.jpg")</f>
        <v/>
      </c>
      <c r="G17" t="inlineStr">
        <is>
          <t>Dang Thao</t>
        </is>
      </c>
      <c r="H17" t="inlineStr">
        <is>
          <t>Female</t>
        </is>
      </c>
      <c r="I17" t="n">
        <v>27</v>
      </c>
      <c r="J17" t="inlineStr">
        <is>
          <t>(714) 622-8253</t>
        </is>
      </c>
      <c r="K17" t="inlineStr">
        <is>
          <t>Thienthao6325@gmail.com</t>
        </is>
      </c>
      <c r="L17" t="inlineStr">
        <is>
          <t>Bible Challenge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TLC</t>
        </is>
      </c>
      <c r="B18" t="inlineStr">
        <is>
          <t>4361946</t>
        </is>
      </c>
      <c r="C18" t="inlineStr">
        <is>
          <t>27</t>
        </is>
      </c>
      <c r="D18" t="inlineStr">
        <is>
          <t>validated</t>
        </is>
      </c>
      <c r="E18" t="b">
        <v>1</v>
      </c>
      <c r="F18">
        <f>IMAGE("https://chmeetings.blob.core.windows.net/846969/attachments/XrueUAlMOUyouOnd0HI8YQ/b7be290e-2f7f-4b78-a624-0e1aebc0b779.jpg")</f>
        <v/>
      </c>
      <c r="G18" t="inlineStr">
        <is>
          <t>Le Ivan</t>
        </is>
      </c>
      <c r="H18" t="inlineStr">
        <is>
          <t>Male</t>
        </is>
      </c>
      <c r="I18" t="n">
        <v>21</v>
      </c>
      <c r="J18" t="inlineStr">
        <is>
          <t>(714) 804-4074</t>
        </is>
      </c>
      <c r="K18" t="inlineStr">
        <is>
          <t>ivan92708@gmail.com</t>
        </is>
      </c>
      <c r="L18" t="inlineStr">
        <is>
          <t>Bible Challenge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WCC</t>
        </is>
      </c>
      <c r="B19" t="inlineStr">
        <is>
          <t>3615930</t>
        </is>
      </c>
      <c r="C19" t="inlineStr">
        <is>
          <t>132</t>
        </is>
      </c>
      <c r="D19" t="inlineStr">
        <is>
          <t>validated</t>
        </is>
      </c>
      <c r="E19" t="b">
        <v>1</v>
      </c>
      <c r="F19">
        <f>IMAGE("https://chmeetings.blob.core.windows.net/846969/attachments/el0BLZyZ3EeCAz93XTduBg/16121ded-bc36-4590-a3b9-de3d81525d74.jpg")</f>
        <v/>
      </c>
      <c r="G19" t="inlineStr">
        <is>
          <t>Doan Daniel</t>
        </is>
      </c>
      <c r="H19" t="inlineStr">
        <is>
          <t>Male</t>
        </is>
      </c>
      <c r="I19" t="n">
        <v>33</v>
      </c>
      <c r="J19" t="inlineStr">
        <is>
          <t>(408) 425-5606</t>
        </is>
      </c>
      <c r="K19" t="inlineStr">
        <is>
          <t>doubledoan@gmail.com</t>
        </is>
      </c>
      <c r="L19" t="inlineStr">
        <is>
          <t>Bible Challenge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WCC</t>
        </is>
      </c>
      <c r="B20" t="inlineStr">
        <is>
          <t>3636515</t>
        </is>
      </c>
      <c r="C20" t="inlineStr">
        <is>
          <t>135</t>
        </is>
      </c>
      <c r="D20" t="inlineStr">
        <is>
          <t>validated</t>
        </is>
      </c>
      <c r="E20" t="b">
        <v>1</v>
      </c>
      <c r="F20">
        <f>IMAGE("https://chmeetings.blob.core.windows.net/846969/attachments/jOasv15W9EGIhUP8ZS2m4g/c7928860-e892-47de-9581-5c2c5b4ce84a.jpg")</f>
        <v/>
      </c>
      <c r="G20" t="inlineStr">
        <is>
          <t>Duong Peter</t>
        </is>
      </c>
      <c r="H20" t="inlineStr">
        <is>
          <t>Male</t>
        </is>
      </c>
      <c r="I20" t="n">
        <v>29</v>
      </c>
      <c r="J20" t="inlineStr">
        <is>
          <t>(714) 723-2835</t>
        </is>
      </c>
      <c r="K20" t="inlineStr">
        <is>
          <t>19duong96@gmail.com</t>
        </is>
      </c>
      <c r="L20" t="inlineStr">
        <is>
          <t>Bible Challenge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WCC</t>
        </is>
      </c>
      <c r="B21" t="inlineStr">
        <is>
          <t>3615931</t>
        </is>
      </c>
      <c r="C21" t="inlineStr">
        <is>
          <t>133</t>
        </is>
      </c>
      <c r="D21" t="inlineStr">
        <is>
          <t>validated</t>
        </is>
      </c>
      <c r="E21" t="b">
        <v>1</v>
      </c>
      <c r="F21">
        <f>IMAGE("https://chmeetings.blob.core.windows.net/846969/attachments/NU7Pn1JdZUSPERudexN2Yg/147a78db-c0fe-4261-8790-cce83b01ea97.jpg")</f>
        <v/>
      </c>
      <c r="G21" t="inlineStr">
        <is>
          <t>Pham Eric</t>
        </is>
      </c>
      <c r="H21" t="inlineStr">
        <is>
          <t>Male</t>
        </is>
      </c>
      <c r="I21" t="n">
        <v>24</v>
      </c>
      <c r="J21" t="inlineStr">
        <is>
          <t>(714) 880-5384</t>
        </is>
      </c>
      <c r="K21" t="inlineStr">
        <is>
          <t>erc.pham@gmail.com</t>
        </is>
      </c>
      <c r="L21" t="inlineStr">
        <is>
          <t>Bible Challenge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  <row r="22">
      <c r="A22" t="inlineStr">
        <is>
          <t>WCC</t>
        </is>
      </c>
      <c r="B22" t="inlineStr">
        <is>
          <t>3636090</t>
        </is>
      </c>
      <c r="C22" t="inlineStr">
        <is>
          <t>136</t>
        </is>
      </c>
      <c r="D22" t="inlineStr">
        <is>
          <t>validated</t>
        </is>
      </c>
      <c r="E22" t="b">
        <v>1</v>
      </c>
      <c r="F22">
        <f>IMAGE("https://chmeetings.blob.core.windows.net/846969/attachments/LgS9b1PnVEaUrKe8jMljbw/e63a6371-6a4a-4741-aead-682ab4f50def.jpg")</f>
        <v/>
      </c>
      <c r="G22" t="inlineStr">
        <is>
          <t>Van Tony</t>
        </is>
      </c>
      <c r="H22" t="inlineStr">
        <is>
          <t>Male</t>
        </is>
      </c>
      <c r="I22" t="n">
        <v>31</v>
      </c>
      <c r="J22" t="inlineStr">
        <is>
          <t>(714) 248-5140</t>
        </is>
      </c>
      <c r="K22" t="inlineStr">
        <is>
          <t>tonyvan1030@gmail.com</t>
        </is>
      </c>
      <c r="L22" t="inlineStr">
        <is>
          <t>Bible Challenge</t>
        </is>
      </c>
      <c r="M22" t="inlineStr">
        <is>
          <t>Mixed</t>
        </is>
      </c>
      <c r="N22" t="inlineStr">
        <is>
          <t>Team</t>
        </is>
      </c>
      <c r="O22" t="inlineStr"/>
      <c r="P22" t="inlineStr"/>
    </row>
  </sheetData>
  <autoFilter ref="A1:P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9" customWidth="1" min="12" max="12"/>
    <col width="8" customWidth="1" min="13" max="13"/>
    <col width="5.5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3606104</t>
        </is>
      </c>
      <c r="C2" t="inlineStr">
        <is>
          <t>50</t>
        </is>
      </c>
      <c r="D2" t="inlineStr">
        <is>
          <t>validated</t>
        </is>
      </c>
      <c r="E2" t="b">
        <v>1</v>
      </c>
      <c r="F2">
        <f>IMAGE("https://chmeetings.blob.core.windows.net/846969/attachments/KN60GvBKJ0qRFQGEtYPMA/f0b82a94-8de5-49f2-bf74-75300a92c050.jpg")</f>
        <v/>
      </c>
      <c r="G2" t="inlineStr">
        <is>
          <t>Nguyen Eric</t>
        </is>
      </c>
      <c r="H2" t="inlineStr">
        <is>
          <t>Male</t>
        </is>
      </c>
      <c r="I2" t="n">
        <v>42</v>
      </c>
      <c r="J2" t="inlineStr">
        <is>
          <t>(562) 728-3782</t>
        </is>
      </c>
      <c r="K2" t="inlineStr">
        <is>
          <t>eric.t.nguyen@gmail.com</t>
        </is>
      </c>
      <c r="L2" t="inlineStr">
        <is>
          <t>Pickleball 35+</t>
        </is>
      </c>
      <c r="M2" t="inlineStr">
        <is>
          <t>Mixed</t>
        </is>
      </c>
      <c r="N2" t="inlineStr">
        <is>
          <t>Doubles</t>
        </is>
      </c>
      <c r="O2" t="inlineStr"/>
      <c r="P2" t="inlineStr">
        <is>
          <t>Ruthi Nguyen</t>
        </is>
      </c>
    </row>
    <row r="3">
      <c r="A3" t="inlineStr">
        <is>
          <t>MWC</t>
        </is>
      </c>
      <c r="B3" t="inlineStr">
        <is>
          <t>3476634</t>
        </is>
      </c>
      <c r="C3" t="inlineStr">
        <is>
          <t>120</t>
        </is>
      </c>
      <c r="D3" t="inlineStr">
        <is>
          <t>validated</t>
        </is>
      </c>
      <c r="E3" t="b">
        <v>1</v>
      </c>
      <c r="F3">
        <f>IMAGE("https://chmeetings.blob.core.windows.net/846969/attachments/DMJy6bIivkC21E56G9lGBg/f5bc2a18-7216-40ce-8bb1-3a3b35e0bf59.jpg")</f>
        <v/>
      </c>
      <c r="G3" t="inlineStr">
        <is>
          <t>Lu John</t>
        </is>
      </c>
      <c r="H3" t="inlineStr">
        <is>
          <t>Male</t>
        </is>
      </c>
      <c r="I3" t="n">
        <v>42</v>
      </c>
      <c r="J3" t="inlineStr">
        <is>
          <t>(657) 351-9362</t>
        </is>
      </c>
      <c r="K3" t="inlineStr">
        <is>
          <t>johnlu608@gmail.com</t>
        </is>
      </c>
      <c r="L3" t="inlineStr">
        <is>
          <t>Pickleball 35+</t>
        </is>
      </c>
      <c r="M3" t="inlineStr">
        <is>
          <t>Men</t>
        </is>
      </c>
      <c r="N3" t="inlineStr">
        <is>
          <t>Singles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6.5" customWidth="1" min="7" max="7"/>
    <col width="4" customWidth="1" min="8" max="8"/>
    <col width="9" customWidth="1" min="9" max="9"/>
    <col width="9" customWidth="1" min="10" max="10"/>
    <col width="11" customWidth="1" min="11" max="11"/>
    <col width="13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4361952</t>
        </is>
      </c>
      <c r="C2" t="inlineStr">
        <is>
          <t>57</t>
        </is>
      </c>
      <c r="D2" t="inlineStr">
        <is>
          <t>pending</t>
        </is>
      </c>
      <c r="E2" t="b">
        <v>1</v>
      </c>
      <c r="F2">
        <f>IMAGE("https://chmeetings.blob.core.windows.net/846969/attachments/Hjxi9RYULUCBzV5lFGI92Q/b0ae99dc-29e8-4902-8dad-c2ffe54bf1b2.jpg")</f>
        <v/>
      </c>
      <c r="G2" t="inlineStr">
        <is>
          <t>Cisneros Michael</t>
        </is>
      </c>
      <c r="H2" t="inlineStr">
        <is>
          <t>Male</t>
        </is>
      </c>
      <c r="I2" t="n">
        <v>16</v>
      </c>
      <c r="J2" t="inlineStr">
        <is>
          <t>(925) 826-9988</t>
        </is>
      </c>
      <c r="K2" t="inlineStr">
        <is>
          <t>michael.cisneros03@icloud.com</t>
        </is>
      </c>
      <c r="L2" t="inlineStr">
        <is>
          <t>Scripture Memorization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3636819</t>
        </is>
      </c>
      <c r="C3" t="inlineStr">
        <is>
          <t>53</t>
        </is>
      </c>
      <c r="D3" t="inlineStr">
        <is>
          <t>validated</t>
        </is>
      </c>
      <c r="E3" t="b">
        <v>1</v>
      </c>
      <c r="F3">
        <f>IMAGE("https://chmeetings.blob.core.windows.net/846969/attachments/2EMW7UJtRk6APQ4qdfqDcA/cae1b6ba-c323-4927-8239-f131801812c4.jpg")</f>
        <v/>
      </c>
      <c r="G3" t="inlineStr">
        <is>
          <t>OConnor Jeremy</t>
        </is>
      </c>
      <c r="H3" t="inlineStr">
        <is>
          <t>Male</t>
        </is>
      </c>
      <c r="I3" t="n">
        <v>28</v>
      </c>
      <c r="J3" t="inlineStr">
        <is>
          <t>(408) 728-2130</t>
        </is>
      </c>
      <c r="K3" t="inlineStr">
        <is>
          <t>jeremyoc241@gmail.com</t>
        </is>
      </c>
      <c r="L3" t="inlineStr">
        <is>
          <t>Scripture Memorization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TLC</t>
        </is>
      </c>
      <c r="B4" t="inlineStr">
        <is>
          <t>3562839</t>
        </is>
      </c>
      <c r="C4" t="inlineStr">
        <is>
          <t>31</t>
        </is>
      </c>
      <c r="D4" t="inlineStr">
        <is>
          <t>pending_approval</t>
        </is>
      </c>
      <c r="E4" t="b">
        <v>1</v>
      </c>
      <c r="F4">
        <f>IMAGE("https://chmeetings.blob.core.windows.net/846969/attachments/YGg8n4kfIE6Jo6c8Uj0LMQ/267c68c0-1843-43e2-93a4-f5c795fb5c3f.jpg")</f>
        <v/>
      </c>
      <c r="G4" t="inlineStr">
        <is>
          <t>Le Shawn</t>
        </is>
      </c>
      <c r="H4" t="inlineStr">
        <is>
          <t>Male</t>
        </is>
      </c>
      <c r="I4" t="n">
        <v>28</v>
      </c>
      <c r="J4" t="inlineStr">
        <is>
          <t>(949) 416-8033</t>
        </is>
      </c>
      <c r="K4" t="inlineStr">
        <is>
          <t>shawn.le@thanhlechurch.com</t>
        </is>
      </c>
      <c r="L4" t="inlineStr">
        <is>
          <t>Scripture Memorization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TLC</t>
        </is>
      </c>
      <c r="B5" t="inlineStr">
        <is>
          <t>4361932</t>
        </is>
      </c>
      <c r="C5" t="inlineStr">
        <is>
          <t>29</t>
        </is>
      </c>
      <c r="D5" t="inlineStr">
        <is>
          <t>pending</t>
        </is>
      </c>
      <c r="E5" t="b">
        <v>1</v>
      </c>
      <c r="F5">
        <f>IMAGE("https://chmeetings.blob.core.windows.net/846969/attachments/W9bzGDguQE6bvmSS8yK6g/23dde69a-d336-4d13-92cf-2f47abb43685.jpg")</f>
        <v/>
      </c>
      <c r="G5" t="inlineStr">
        <is>
          <t>Nguyen Michelle</t>
        </is>
      </c>
      <c r="H5" t="inlineStr">
        <is>
          <t>Female</t>
        </is>
      </c>
      <c r="I5" t="n">
        <v>13</v>
      </c>
      <c r="J5" t="inlineStr">
        <is>
          <t>(714) 466-5359</t>
        </is>
      </c>
      <c r="K5" t="inlineStr">
        <is>
          <t>michellephuongng@gmail.com</t>
        </is>
      </c>
      <c r="L5" t="inlineStr">
        <is>
          <t>Scripture Memorization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WCC</t>
        </is>
      </c>
      <c r="B6" t="inlineStr">
        <is>
          <t>3615931</t>
        </is>
      </c>
      <c r="C6" t="inlineStr">
        <is>
          <t>133</t>
        </is>
      </c>
      <c r="D6" t="inlineStr">
        <is>
          <t>validated</t>
        </is>
      </c>
      <c r="E6" t="b">
        <v>1</v>
      </c>
      <c r="F6">
        <f>IMAGE("https://chmeetings.blob.core.windows.net/846969/attachments/NU7Pn1JdZUSPERudexN2Yg/147a78db-c0fe-4261-8790-cce83b01ea97.jpg")</f>
        <v/>
      </c>
      <c r="G6" t="inlineStr">
        <is>
          <t>Pham Eric</t>
        </is>
      </c>
      <c r="H6" t="inlineStr">
        <is>
          <t>Male</t>
        </is>
      </c>
      <c r="I6" t="n">
        <v>24</v>
      </c>
      <c r="J6" t="inlineStr">
        <is>
          <t>(714) 880-5384</t>
        </is>
      </c>
      <c r="K6" t="inlineStr">
        <is>
          <t>erc.pham@gmail.com</t>
        </is>
      </c>
      <c r="L6" t="inlineStr">
        <is>
          <t>Scripture Memorization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</sheetData>
  <autoFilter ref="A1:P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5.5" customWidth="1" min="7" max="7"/>
    <col width="4" customWidth="1" min="8" max="8"/>
    <col width="9" customWidth="1" min="9" max="9"/>
    <col width="9" customWidth="1" min="10" max="10"/>
    <col width="11.5" customWidth="1" min="11" max="11"/>
    <col width="10" customWidth="1" min="12" max="12"/>
    <col width="8" customWidth="1" min="13" max="13"/>
    <col width="5.5" customWidth="1" min="14" max="14"/>
    <col width="7" customWidth="1" min="15" max="15"/>
    <col width="6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4363702</t>
        </is>
      </c>
      <c r="C2" t="inlineStr">
        <is>
          <t>114</t>
        </is>
      </c>
      <c r="D2" t="inlineStr">
        <is>
          <t>validated</t>
        </is>
      </c>
      <c r="E2" t="b">
        <v>1</v>
      </c>
      <c r="F2">
        <f>IMAGE("https://chmeetings.blob.core.windows.net/846969/attachments/ROHoX9AhkqcJQzXnKNrQ/9b3a9902-9865-411f-8560-68da85fa6eaf.jpg")</f>
        <v/>
      </c>
      <c r="G2" t="inlineStr">
        <is>
          <t>Tran Timothy</t>
        </is>
      </c>
      <c r="H2" t="inlineStr">
        <is>
          <t>Male</t>
        </is>
      </c>
      <c r="I2" t="n">
        <v>56</v>
      </c>
      <c r="J2" t="inlineStr">
        <is>
          <t>(408) 568-7264</t>
        </is>
      </c>
      <c r="K2" t="inlineStr">
        <is>
          <t>timltran2003@yahoo.com</t>
        </is>
      </c>
      <c r="L2" t="inlineStr">
        <is>
          <t>Table Tennis 35+</t>
        </is>
      </c>
      <c r="M2" t="inlineStr">
        <is>
          <t>Men</t>
        </is>
      </c>
      <c r="N2" t="inlineStr">
        <is>
          <t>Doubles</t>
        </is>
      </c>
      <c r="O2" t="inlineStr"/>
      <c r="P2" t="inlineStr">
        <is>
          <t>Dung Pham</t>
        </is>
      </c>
    </row>
    <row r="3">
      <c r="A3" t="inlineStr">
        <is>
          <t>MWC</t>
        </is>
      </c>
      <c r="B3" t="inlineStr">
        <is>
          <t>3476634</t>
        </is>
      </c>
      <c r="C3" t="inlineStr">
        <is>
          <t>120</t>
        </is>
      </c>
      <c r="D3" t="inlineStr">
        <is>
          <t>validated</t>
        </is>
      </c>
      <c r="E3" t="b">
        <v>1</v>
      </c>
      <c r="F3">
        <f>IMAGE("https://chmeetings.blob.core.windows.net/846969/attachments/DMJy6bIivkC21E56G9lGBg/f5bc2a18-7216-40ce-8bb1-3a3b35e0bf59.jpg")</f>
        <v/>
      </c>
      <c r="G3" t="inlineStr">
        <is>
          <t>Lu John</t>
        </is>
      </c>
      <c r="H3" t="inlineStr">
        <is>
          <t>Male</t>
        </is>
      </c>
      <c r="I3" t="n">
        <v>42</v>
      </c>
      <c r="J3" t="inlineStr">
        <is>
          <t>(657) 351-9362</t>
        </is>
      </c>
      <c r="K3" t="inlineStr">
        <is>
          <t>johnlu608@gmail.com</t>
        </is>
      </c>
      <c r="L3" t="inlineStr">
        <is>
          <t>Table Tennis 35+</t>
        </is>
      </c>
      <c r="M3" t="inlineStr">
        <is>
          <t>Men</t>
        </is>
      </c>
      <c r="N3" t="inlineStr">
        <is>
          <t>Singles</t>
        </is>
      </c>
      <c r="O3" t="inlineStr"/>
      <c r="P3" t="inlineStr"/>
    </row>
  </sheetData>
  <autoFilter ref="A1:P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6.5" customWidth="1" min="4" max="4"/>
    <col width="8.5" customWidth="1" min="5" max="5"/>
    <col width="50" customWidth="1" min="6" max="6"/>
    <col width="7" customWidth="1" min="7" max="7"/>
    <col width="4" customWidth="1" min="8" max="8"/>
    <col width="9" customWidth="1" min="9" max="9"/>
    <col width="9" customWidth="1" min="10" max="10"/>
    <col width="12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GAC</t>
        </is>
      </c>
      <c r="B2" t="inlineStr">
        <is>
          <t>3618803</t>
        </is>
      </c>
      <c r="C2" t="inlineStr">
        <is>
          <t>47</t>
        </is>
      </c>
      <c r="D2" t="inlineStr">
        <is>
          <t>validated</t>
        </is>
      </c>
      <c r="E2" t="b">
        <v>1</v>
      </c>
      <c r="F2">
        <f>IMAGE("https://chmeetings.blob.core.windows.net/846969/attachments/8RaR3P2EW0W4gXH4RYhbTA/5ceea1d8-d408-4951-80f1-990d0318e7f1.jpg")</f>
        <v/>
      </c>
      <c r="G2" t="inlineStr">
        <is>
          <t>Chau Brendan</t>
        </is>
      </c>
      <c r="H2" t="inlineStr">
        <is>
          <t>Male</t>
        </is>
      </c>
      <c r="I2" t="n">
        <v>28</v>
      </c>
      <c r="J2" t="inlineStr">
        <is>
          <t>(408) 781-6867</t>
        </is>
      </c>
      <c r="K2" t="inlineStr">
        <is>
          <t>bvanchau35@gmail.com</t>
        </is>
      </c>
      <c r="L2" t="inlineStr">
        <is>
          <t>Tug-of-war</t>
        </is>
      </c>
      <c r="M2" t="inlineStr">
        <is>
          <t>Mixed</t>
        </is>
      </c>
      <c r="N2" t="inlineStr">
        <is>
          <t>Team</t>
        </is>
      </c>
      <c r="O2" t="inlineStr"/>
      <c r="P2" t="inlineStr"/>
    </row>
    <row r="3">
      <c r="A3" t="inlineStr">
        <is>
          <t>GAC</t>
        </is>
      </c>
      <c r="B3" t="inlineStr">
        <is>
          <t>4361952</t>
        </is>
      </c>
      <c r="C3" t="inlineStr">
        <is>
          <t>57</t>
        </is>
      </c>
      <c r="D3" t="inlineStr">
        <is>
          <t>pending</t>
        </is>
      </c>
      <c r="E3" t="b">
        <v>1</v>
      </c>
      <c r="F3">
        <f>IMAGE("https://chmeetings.blob.core.windows.net/846969/attachments/Hjxi9RYULUCBzV5lFGI92Q/b0ae99dc-29e8-4902-8dad-c2ffe54bf1b2.jpg")</f>
        <v/>
      </c>
      <c r="G3" t="inlineStr">
        <is>
          <t>Cisneros Michael</t>
        </is>
      </c>
      <c r="H3" t="inlineStr">
        <is>
          <t>Male</t>
        </is>
      </c>
      <c r="I3" t="n">
        <v>16</v>
      </c>
      <c r="J3" t="inlineStr">
        <is>
          <t>(925) 826-9988</t>
        </is>
      </c>
      <c r="K3" t="inlineStr">
        <is>
          <t>michael.cisneros03@icloud.com</t>
        </is>
      </c>
      <c r="L3" t="inlineStr">
        <is>
          <t>Tug-of-war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GAC</t>
        </is>
      </c>
      <c r="B4" t="inlineStr">
        <is>
          <t>3636819</t>
        </is>
      </c>
      <c r="C4" t="inlineStr">
        <is>
          <t>53</t>
        </is>
      </c>
      <c r="D4" t="inlineStr">
        <is>
          <t>validated</t>
        </is>
      </c>
      <c r="E4" t="b">
        <v>1</v>
      </c>
      <c r="F4">
        <f>IMAGE("https://chmeetings.blob.core.windows.net/846969/attachments/2EMW7UJtRk6APQ4qdfqDcA/cae1b6ba-c323-4927-8239-f131801812c4.jpg")</f>
        <v/>
      </c>
      <c r="G4" t="inlineStr">
        <is>
          <t>OConnor Jeremy</t>
        </is>
      </c>
      <c r="H4" t="inlineStr">
        <is>
          <t>Male</t>
        </is>
      </c>
      <c r="I4" t="n">
        <v>28</v>
      </c>
      <c r="J4" t="inlineStr">
        <is>
          <t>(408) 728-2130</t>
        </is>
      </c>
      <c r="K4" t="inlineStr">
        <is>
          <t>jeremyoc241@gmail.com</t>
        </is>
      </c>
      <c r="L4" t="inlineStr">
        <is>
          <t>Tug-of-war</t>
        </is>
      </c>
      <c r="M4" t="inlineStr">
        <is>
          <t>Mixed</t>
        </is>
      </c>
      <c r="N4" t="inlineStr">
        <is>
          <t>Team</t>
        </is>
      </c>
      <c r="O4" t="inlineStr"/>
      <c r="P4" t="inlineStr"/>
    </row>
    <row r="5">
      <c r="A5" t="inlineStr">
        <is>
          <t>GAC</t>
        </is>
      </c>
      <c r="B5" t="inlineStr">
        <is>
          <t>3615948</t>
        </is>
      </c>
      <c r="C5" t="inlineStr">
        <is>
          <t>46</t>
        </is>
      </c>
      <c r="D5" t="inlineStr">
        <is>
          <t>validated</t>
        </is>
      </c>
      <c r="E5" t="b">
        <v>1</v>
      </c>
      <c r="F5">
        <f>IMAGE("https://chmeetings.blob.core.windows.net/846969/attachments/jl2i4eVeYECLBJcTyk7tA/55b9f204-7df3-4ccf-ba35-08d5400d946c.jpg")</f>
        <v/>
      </c>
      <c r="G5" t="inlineStr">
        <is>
          <t>Ta Anthony</t>
        </is>
      </c>
      <c r="H5" t="inlineStr">
        <is>
          <t>Male</t>
        </is>
      </c>
      <c r="I5" t="n">
        <v>25</v>
      </c>
      <c r="J5" t="inlineStr">
        <is>
          <t>502</t>
        </is>
      </c>
      <c r="K5" t="inlineStr">
        <is>
          <t>anthonyta502@gmail.com</t>
        </is>
      </c>
      <c r="L5" t="inlineStr">
        <is>
          <t>Tug-of-war</t>
        </is>
      </c>
      <c r="M5" t="inlineStr">
        <is>
          <t>Mixed</t>
        </is>
      </c>
      <c r="N5" t="inlineStr">
        <is>
          <t>Team</t>
        </is>
      </c>
      <c r="O5" t="inlineStr"/>
      <c r="P5" t="inlineStr"/>
    </row>
    <row r="6">
      <c r="A6" t="inlineStr">
        <is>
          <t>GLA</t>
        </is>
      </c>
      <c r="B6" t="inlineStr">
        <is>
          <t>3570848</t>
        </is>
      </c>
      <c r="C6" t="inlineStr">
        <is>
          <t>90</t>
        </is>
      </c>
      <c r="D6" t="inlineStr">
        <is>
          <t>pending_approval</t>
        </is>
      </c>
      <c r="E6" t="b">
        <v>1</v>
      </c>
      <c r="F6">
        <f>IMAGE("https://chmeetings.blob.core.windows.net/846969/attachments/9nPE07rppUmkSggzO9ESg/47d06526-4fa5-4234-9c13-94ab1e6ca296.jpg")</f>
        <v/>
      </c>
      <c r="G6" t="inlineStr">
        <is>
          <t>Miciano Edwin Joshua</t>
        </is>
      </c>
      <c r="H6" t="inlineStr">
        <is>
          <t>Male</t>
        </is>
      </c>
      <c r="I6" t="n">
        <v>25</v>
      </c>
      <c r="J6" t="inlineStr">
        <is>
          <t>(818) 572-5802</t>
        </is>
      </c>
      <c r="K6" t="inlineStr">
        <is>
          <t>ejomiciano@gmail.com</t>
        </is>
      </c>
      <c r="L6" t="inlineStr">
        <is>
          <t>Tug-of-war</t>
        </is>
      </c>
      <c r="M6" t="inlineStr">
        <is>
          <t>Mixed</t>
        </is>
      </c>
      <c r="N6" t="inlineStr">
        <is>
          <t>Team</t>
        </is>
      </c>
      <c r="O6" t="inlineStr"/>
      <c r="P6" t="inlineStr"/>
    </row>
    <row r="7">
      <c r="A7" t="inlineStr">
        <is>
          <t>MWC</t>
        </is>
      </c>
      <c r="B7" t="inlineStr">
        <is>
          <t>3476634</t>
        </is>
      </c>
      <c r="C7" t="inlineStr">
        <is>
          <t>120</t>
        </is>
      </c>
      <c r="D7" t="inlineStr">
        <is>
          <t>validated</t>
        </is>
      </c>
      <c r="E7" t="b">
        <v>1</v>
      </c>
      <c r="F7">
        <f>IMAGE("https://chmeetings.blob.core.windows.net/846969/attachments/DMJy6bIivkC21E56G9lGBg/f5bc2a18-7216-40ce-8bb1-3a3b35e0bf59.jpg")</f>
        <v/>
      </c>
      <c r="G7" t="inlineStr">
        <is>
          <t>Lu John</t>
        </is>
      </c>
      <c r="H7" t="inlineStr">
        <is>
          <t>Male</t>
        </is>
      </c>
      <c r="I7" t="n">
        <v>42</v>
      </c>
      <c r="J7" t="inlineStr">
        <is>
          <t>(657) 351-9362</t>
        </is>
      </c>
      <c r="K7" t="inlineStr">
        <is>
          <t>johnlu608@gmail.com</t>
        </is>
      </c>
      <c r="L7" t="inlineStr">
        <is>
          <t>Tug-of-war</t>
        </is>
      </c>
      <c r="M7" t="inlineStr">
        <is>
          <t>Mixed</t>
        </is>
      </c>
      <c r="N7" t="inlineStr">
        <is>
          <t>Team</t>
        </is>
      </c>
      <c r="O7" t="inlineStr"/>
      <c r="P7" t="inlineStr"/>
    </row>
    <row r="8">
      <c r="A8" t="inlineStr">
        <is>
          <t>MWC</t>
        </is>
      </c>
      <c r="B8" t="inlineStr">
        <is>
          <t>3634402</t>
        </is>
      </c>
      <c r="C8" t="inlineStr">
        <is>
          <t>121</t>
        </is>
      </c>
      <c r="D8" t="inlineStr">
        <is>
          <t>validated</t>
        </is>
      </c>
      <c r="E8" t="b">
        <v>1</v>
      </c>
      <c r="F8">
        <f>IMAGE("https://chmeetings.blob.core.windows.net/846969/attachments/qwaDZjf0aNW9jVVcIEXA/99f4374c-673a-4df1-b72e-ef135b7bf532.jpg")</f>
        <v/>
      </c>
      <c r="G8" t="inlineStr">
        <is>
          <t>Nguyen Mai</t>
        </is>
      </c>
      <c r="H8" t="inlineStr">
        <is>
          <t>Female</t>
        </is>
      </c>
      <c r="I8" t="n">
        <v>21</v>
      </c>
      <c r="J8" t="inlineStr">
        <is>
          <t>(714) 902-8040</t>
        </is>
      </c>
      <c r="K8" t="inlineStr">
        <is>
          <t>mainguyen300105@gmail.com</t>
        </is>
      </c>
      <c r="L8" t="inlineStr">
        <is>
          <t>Tug-of-war</t>
        </is>
      </c>
      <c r="M8" t="inlineStr">
        <is>
          <t>Mixed</t>
        </is>
      </c>
      <c r="N8" t="inlineStr">
        <is>
          <t>Team</t>
        </is>
      </c>
      <c r="O8" t="inlineStr"/>
      <c r="P8" t="inlineStr"/>
    </row>
    <row r="9">
      <c r="A9" t="inlineStr">
        <is>
          <t>NHC</t>
        </is>
      </c>
      <c r="B9" t="inlineStr">
        <is>
          <t>3570849</t>
        </is>
      </c>
      <c r="C9" t="inlineStr">
        <is>
          <t>32</t>
        </is>
      </c>
      <c r="D9" t="inlineStr">
        <is>
          <t>validated</t>
        </is>
      </c>
      <c r="E9" t="b">
        <v>1</v>
      </c>
      <c r="F9">
        <f>IMAGE("https://chmeetings.blob.core.windows.net/846969/attachments/ImZkxkYEeJVq4IgCqawg/acea4bd7-c650-4527-8991-aa7a30072191.jpg")</f>
        <v/>
      </c>
      <c r="G9" t="inlineStr">
        <is>
          <t>Nguyen Faith</t>
        </is>
      </c>
      <c r="H9" t="inlineStr">
        <is>
          <t>Female</t>
        </is>
      </c>
      <c r="I9" t="n">
        <v>21</v>
      </c>
      <c r="J9" t="inlineStr">
        <is>
          <t>(818) 364-1995</t>
        </is>
      </c>
      <c r="K9" t="inlineStr">
        <is>
          <t>faithdnguyen@gmail.com</t>
        </is>
      </c>
      <c r="L9" t="inlineStr">
        <is>
          <t>Tug-of-war</t>
        </is>
      </c>
      <c r="M9" t="inlineStr">
        <is>
          <t>Mixed</t>
        </is>
      </c>
      <c r="N9" t="inlineStr">
        <is>
          <t>Team</t>
        </is>
      </c>
      <c r="O9" t="inlineStr"/>
      <c r="P9" t="inlineStr"/>
    </row>
    <row r="10">
      <c r="A10" t="inlineStr">
        <is>
          <t>NHC</t>
        </is>
      </c>
      <c r="B10" t="inlineStr">
        <is>
          <t>3630107</t>
        </is>
      </c>
      <c r="C10" t="inlineStr">
        <is>
          <t>33</t>
        </is>
      </c>
      <c r="D10" t="inlineStr">
        <is>
          <t>validated</t>
        </is>
      </c>
      <c r="E10" t="b">
        <v>1</v>
      </c>
      <c r="F10">
        <f>IMAGE("https://chmeetings.blob.core.windows.net/846969/attachments/B2AeM61EiaenvZFE5GJA/7474f516-6576-427d-817f-9e334bd24a36.jpg")</f>
        <v/>
      </c>
      <c r="G10" t="inlineStr">
        <is>
          <t>Nguyen Nhi</t>
        </is>
      </c>
      <c r="H10" t="inlineStr">
        <is>
          <t>Female</t>
        </is>
      </c>
      <c r="I10" t="n">
        <v>22</v>
      </c>
      <c r="J10" t="inlineStr">
        <is>
          <t>(818) 205-6576</t>
        </is>
      </c>
      <c r="K10" t="inlineStr">
        <is>
          <t>nhikneenguyen@gmail.com</t>
        </is>
      </c>
      <c r="L10" t="inlineStr">
        <is>
          <t>Tug-of-war</t>
        </is>
      </c>
      <c r="M10" t="inlineStr">
        <is>
          <t>Mixed</t>
        </is>
      </c>
      <c r="N10" t="inlineStr">
        <is>
          <t>Team</t>
        </is>
      </c>
      <c r="O10" t="inlineStr"/>
      <c r="P10" t="inlineStr"/>
    </row>
    <row r="11">
      <c r="A11" t="inlineStr">
        <is>
          <t>OCB</t>
        </is>
      </c>
      <c r="B11" t="inlineStr">
        <is>
          <t>3635883</t>
        </is>
      </c>
      <c r="C11" t="inlineStr">
        <is>
          <t>129</t>
        </is>
      </c>
      <c r="D11" t="inlineStr">
        <is>
          <t>validated</t>
        </is>
      </c>
      <c r="E11" t="b">
        <v>1</v>
      </c>
      <c r="F11">
        <f>IMAGE("https://chmeetings.blob.core.windows.net/846969/attachments/YsOBYBV0q0OlqZ15fv698g/6b2979fd-e678-4960-90b4-480f52cec039.jpg")</f>
        <v/>
      </c>
      <c r="G11" t="inlineStr">
        <is>
          <t>Nguyen Henry</t>
        </is>
      </c>
      <c r="H11" t="inlineStr">
        <is>
          <t>Male</t>
        </is>
      </c>
      <c r="I11" t="n">
        <v>25</v>
      </c>
      <c r="J11" t="inlineStr">
        <is>
          <t>(714) 975-0037</t>
        </is>
      </c>
      <c r="K11" t="inlineStr">
        <is>
          <t>Henrynguyen600@gmail.com</t>
        </is>
      </c>
      <c r="L11" t="inlineStr">
        <is>
          <t>Tug-of-war</t>
        </is>
      </c>
      <c r="M11" t="inlineStr">
        <is>
          <t>Mixed</t>
        </is>
      </c>
      <c r="N11" t="inlineStr">
        <is>
          <t>Team</t>
        </is>
      </c>
      <c r="O11" t="inlineStr"/>
      <c r="P11" t="inlineStr"/>
    </row>
    <row r="12">
      <c r="A12" t="inlineStr">
        <is>
          <t>ORN</t>
        </is>
      </c>
      <c r="B12" t="inlineStr">
        <is>
          <t>3635913</t>
        </is>
      </c>
      <c r="C12" t="inlineStr">
        <is>
          <t>17</t>
        </is>
      </c>
      <c r="D12" t="inlineStr">
        <is>
          <t>validated</t>
        </is>
      </c>
      <c r="E12" t="b">
        <v>1</v>
      </c>
      <c r="F12">
        <f>IMAGE("https://chmeetings.blob.core.windows.net/846969/attachments/Mul7jbKbAE29qrSeitsaQ/70858581-18a8-4d38-a34b-36f27970e10b.jpg")</f>
        <v/>
      </c>
      <c r="G12" t="inlineStr">
        <is>
          <t>Le Naomi</t>
        </is>
      </c>
      <c r="H12" t="inlineStr">
        <is>
          <t>Female</t>
        </is>
      </c>
      <c r="I12" t="n">
        <v>18</v>
      </c>
      <c r="J12" t="inlineStr">
        <is>
          <t>(951) 474-9992</t>
        </is>
      </c>
      <c r="K12" t="inlineStr">
        <is>
          <t>naomithienngocle@gmail.com</t>
        </is>
      </c>
      <c r="L12" t="inlineStr">
        <is>
          <t>Tug-of-war</t>
        </is>
      </c>
      <c r="M12" t="inlineStr">
        <is>
          <t>Mixed</t>
        </is>
      </c>
      <c r="N12" t="inlineStr">
        <is>
          <t>Team</t>
        </is>
      </c>
      <c r="O12" t="inlineStr"/>
      <c r="P12" t="inlineStr"/>
    </row>
    <row r="13">
      <c r="A13" t="inlineStr">
        <is>
          <t>ORN</t>
        </is>
      </c>
      <c r="B13" t="inlineStr">
        <is>
          <t>3505206</t>
        </is>
      </c>
      <c r="C13" t="inlineStr">
        <is>
          <t>16</t>
        </is>
      </c>
      <c r="D13" t="inlineStr">
        <is>
          <t>validated</t>
        </is>
      </c>
      <c r="E13" t="b">
        <v>1</v>
      </c>
      <c r="F13">
        <f>IMAGE("https://chmeetings.blob.core.windows.net/846969/attachments/3veswZCVtEs6fg25uiOYg/14d4ef4d-d959-4d64-ae0d-e552b50141f9.jpg")</f>
        <v/>
      </c>
      <c r="G13" t="inlineStr">
        <is>
          <t>Nguyen Matthew</t>
        </is>
      </c>
      <c r="H13" t="inlineStr">
        <is>
          <t>Male</t>
        </is>
      </c>
      <c r="I13" t="n">
        <v>31</v>
      </c>
      <c r="J13" t="inlineStr">
        <is>
          <t>(714) 391-5045</t>
        </is>
      </c>
      <c r="K13" t="inlineStr">
        <is>
          <t>matthewlan1995@yahoo.com</t>
        </is>
      </c>
      <c r="L13" t="inlineStr">
        <is>
          <t>Tug-of-war</t>
        </is>
      </c>
      <c r="M13" t="inlineStr">
        <is>
          <t>Mixed</t>
        </is>
      </c>
      <c r="N13" t="inlineStr">
        <is>
          <t>Team</t>
        </is>
      </c>
      <c r="O13" t="inlineStr"/>
      <c r="P13" t="inlineStr"/>
    </row>
    <row r="14">
      <c r="A14" t="inlineStr">
        <is>
          <t>ORN</t>
        </is>
      </c>
      <c r="B14" t="inlineStr">
        <is>
          <t>3623151</t>
        </is>
      </c>
      <c r="C14" t="inlineStr">
        <is>
          <t>15</t>
        </is>
      </c>
      <c r="D14" t="inlineStr">
        <is>
          <t>validated</t>
        </is>
      </c>
      <c r="E14" t="b">
        <v>1</v>
      </c>
      <c r="F14">
        <f>IMAGE("https://chmeetings.blob.core.windows.net/846969/attachments/z7xCROYqU640Hcj39vXnA/7df9ecde-a535-47b7-b28e-c4595f88700e.jpg")</f>
        <v/>
      </c>
      <c r="G14" t="inlineStr">
        <is>
          <t>Tran Luke</t>
        </is>
      </c>
      <c r="H14" t="inlineStr">
        <is>
          <t>Male</t>
        </is>
      </c>
      <c r="I14" t="n">
        <v>19</v>
      </c>
      <c r="J14" t="inlineStr">
        <is>
          <t>(714) 696-2217</t>
        </is>
      </c>
      <c r="K14" t="inlineStr">
        <is>
          <t>ltttran01@gmail.com</t>
        </is>
      </c>
      <c r="L14" t="inlineStr">
        <is>
          <t>Tug-of-war</t>
        </is>
      </c>
      <c r="M14" t="inlineStr">
        <is>
          <t>Mixed</t>
        </is>
      </c>
      <c r="N14" t="inlineStr">
        <is>
          <t>Team</t>
        </is>
      </c>
      <c r="O14" t="inlineStr"/>
      <c r="P14" t="inlineStr"/>
    </row>
    <row r="15">
      <c r="A15" t="inlineStr">
        <is>
          <t>PCC</t>
        </is>
      </c>
      <c r="B15" t="inlineStr">
        <is>
          <t>3615924</t>
        </is>
      </c>
      <c r="C15" t="inlineStr">
        <is>
          <t>96</t>
        </is>
      </c>
      <c r="D15" t="inlineStr">
        <is>
          <t>validated</t>
        </is>
      </c>
      <c r="E15" t="b">
        <v>1</v>
      </c>
      <c r="F15">
        <f>IMAGE("https://chmeetings.blob.core.windows.net/846969/attachments/MZuX3sULm0uE6GUDiZyag/d82bddb5-8dc3-451c-a737-e765849edbe5.jpg")</f>
        <v/>
      </c>
      <c r="G15" t="inlineStr">
        <is>
          <t>Doan Sylas</t>
        </is>
      </c>
      <c r="H15" t="inlineStr">
        <is>
          <t>Male</t>
        </is>
      </c>
      <c r="I15" t="n">
        <v>18</v>
      </c>
      <c r="J15" t="inlineStr">
        <is>
          <t>(619) 897-0626</t>
        </is>
      </c>
      <c r="K15" t="inlineStr">
        <is>
          <t>sylaskdoan@gmail.com</t>
        </is>
      </c>
      <c r="L15" t="inlineStr">
        <is>
          <t>Tug-of-war</t>
        </is>
      </c>
      <c r="M15" t="inlineStr">
        <is>
          <t>Mixed</t>
        </is>
      </c>
      <c r="N15" t="inlineStr">
        <is>
          <t>Team</t>
        </is>
      </c>
      <c r="O15" t="inlineStr"/>
      <c r="P15" t="inlineStr"/>
    </row>
    <row r="16">
      <c r="A16" t="inlineStr">
        <is>
          <t>PCC</t>
        </is>
      </c>
      <c r="B16" t="inlineStr">
        <is>
          <t>3615927</t>
        </is>
      </c>
      <c r="C16" t="inlineStr">
        <is>
          <t>102</t>
        </is>
      </c>
      <c r="D16" t="inlineStr">
        <is>
          <t>validated</t>
        </is>
      </c>
      <c r="E16" t="b">
        <v>1</v>
      </c>
      <c r="F16">
        <f>IMAGE("https://chmeetings.blob.core.windows.net/846969/attachments/Zrta8DMWUakk9LacvoTg/f5ca0686-d499-4f36-aaf7-2daa1d8d7752.jpg")</f>
        <v/>
      </c>
      <c r="G16" t="inlineStr">
        <is>
          <t>Huynh Paul</t>
        </is>
      </c>
      <c r="H16" t="inlineStr">
        <is>
          <t>Male</t>
        </is>
      </c>
      <c r="I16" t="n">
        <v>18</v>
      </c>
      <c r="J16" t="inlineStr">
        <is>
          <t>(858) 933-7306</t>
        </is>
      </c>
      <c r="K16" t="inlineStr">
        <is>
          <t>Noodle_storm1@icloud.com</t>
        </is>
      </c>
      <c r="L16" t="inlineStr">
        <is>
          <t>Tug-of-war</t>
        </is>
      </c>
      <c r="M16" t="inlineStr">
        <is>
          <t>Mixed</t>
        </is>
      </c>
      <c r="N16" t="inlineStr">
        <is>
          <t>Team</t>
        </is>
      </c>
      <c r="O16" t="inlineStr"/>
      <c r="P16" t="inlineStr"/>
    </row>
    <row r="17">
      <c r="A17" t="inlineStr">
        <is>
          <t>TLC</t>
        </is>
      </c>
      <c r="B17" t="inlineStr">
        <is>
          <t>3562839</t>
        </is>
      </c>
      <c r="C17" t="inlineStr">
        <is>
          <t>31</t>
        </is>
      </c>
      <c r="D17" t="inlineStr">
        <is>
          <t>pending_approval</t>
        </is>
      </c>
      <c r="E17" t="b">
        <v>1</v>
      </c>
      <c r="F17">
        <f>IMAGE("https://chmeetings.blob.core.windows.net/846969/attachments/YGg8n4kfIE6Jo6c8Uj0LMQ/267c68c0-1843-43e2-93a4-f5c795fb5c3f.jpg")</f>
        <v/>
      </c>
      <c r="G17" t="inlineStr">
        <is>
          <t>Le Shawn</t>
        </is>
      </c>
      <c r="H17" t="inlineStr">
        <is>
          <t>Male</t>
        </is>
      </c>
      <c r="I17" t="n">
        <v>28</v>
      </c>
      <c r="J17" t="inlineStr">
        <is>
          <t>(949) 416-8033</t>
        </is>
      </c>
      <c r="K17" t="inlineStr">
        <is>
          <t>shawn.le@thanhlechurch.com</t>
        </is>
      </c>
      <c r="L17" t="inlineStr">
        <is>
          <t>Tug-of-war</t>
        </is>
      </c>
      <c r="M17" t="inlineStr">
        <is>
          <t>Mixed</t>
        </is>
      </c>
      <c r="N17" t="inlineStr">
        <is>
          <t>Team</t>
        </is>
      </c>
      <c r="O17" t="inlineStr"/>
      <c r="P17" t="inlineStr"/>
    </row>
    <row r="18">
      <c r="A18" t="inlineStr">
        <is>
          <t>WCC</t>
        </is>
      </c>
      <c r="B18" t="inlineStr">
        <is>
          <t>3615930</t>
        </is>
      </c>
      <c r="C18" t="inlineStr">
        <is>
          <t>132</t>
        </is>
      </c>
      <c r="D18" t="inlineStr">
        <is>
          <t>validated</t>
        </is>
      </c>
      <c r="E18" t="b">
        <v>1</v>
      </c>
      <c r="F18">
        <f>IMAGE("https://chmeetings.blob.core.windows.net/846969/attachments/el0BLZyZ3EeCAz93XTduBg/16121ded-bc36-4590-a3b9-de3d81525d74.jpg")</f>
        <v/>
      </c>
      <c r="G18" t="inlineStr">
        <is>
          <t>Doan Daniel</t>
        </is>
      </c>
      <c r="H18" t="inlineStr">
        <is>
          <t>Male</t>
        </is>
      </c>
      <c r="I18" t="n">
        <v>33</v>
      </c>
      <c r="J18" t="inlineStr">
        <is>
          <t>(408) 425-5606</t>
        </is>
      </c>
      <c r="K18" t="inlineStr">
        <is>
          <t>doubledoan@gmail.com</t>
        </is>
      </c>
      <c r="L18" t="inlineStr">
        <is>
          <t>Tug-of-war</t>
        </is>
      </c>
      <c r="M18" t="inlineStr">
        <is>
          <t>Mixed</t>
        </is>
      </c>
      <c r="N18" t="inlineStr">
        <is>
          <t>Team</t>
        </is>
      </c>
      <c r="O18" t="inlineStr"/>
      <c r="P18" t="inlineStr"/>
    </row>
    <row r="19">
      <c r="A19" t="inlineStr">
        <is>
          <t>WCC</t>
        </is>
      </c>
      <c r="B19" t="inlineStr">
        <is>
          <t>3636515</t>
        </is>
      </c>
      <c r="C19" t="inlineStr">
        <is>
          <t>135</t>
        </is>
      </c>
      <c r="D19" t="inlineStr">
        <is>
          <t>validated</t>
        </is>
      </c>
      <c r="E19" t="b">
        <v>1</v>
      </c>
      <c r="F19">
        <f>IMAGE("https://chmeetings.blob.core.windows.net/846969/attachments/jOasv15W9EGIhUP8ZS2m4g/c7928860-e892-47de-9581-5c2c5b4ce84a.jpg")</f>
        <v/>
      </c>
      <c r="G19" t="inlineStr">
        <is>
          <t>Duong Peter</t>
        </is>
      </c>
      <c r="H19" t="inlineStr">
        <is>
          <t>Male</t>
        </is>
      </c>
      <c r="I19" t="n">
        <v>29</v>
      </c>
      <c r="J19" t="inlineStr">
        <is>
          <t>(714) 723-2835</t>
        </is>
      </c>
      <c r="K19" t="inlineStr">
        <is>
          <t>19duong96@gmail.com</t>
        </is>
      </c>
      <c r="L19" t="inlineStr">
        <is>
          <t>Tug-of-war</t>
        </is>
      </c>
      <c r="M19" t="inlineStr">
        <is>
          <t>Mixed</t>
        </is>
      </c>
      <c r="N19" t="inlineStr">
        <is>
          <t>Team</t>
        </is>
      </c>
      <c r="O19" t="inlineStr"/>
      <c r="P19" t="inlineStr"/>
    </row>
    <row r="20">
      <c r="A20" t="inlineStr">
        <is>
          <t>WCC</t>
        </is>
      </c>
      <c r="B20" t="inlineStr">
        <is>
          <t>3636090</t>
        </is>
      </c>
      <c r="C20" t="inlineStr">
        <is>
          <t>136</t>
        </is>
      </c>
      <c r="D20" t="inlineStr">
        <is>
          <t>validated</t>
        </is>
      </c>
      <c r="E20" t="b">
        <v>1</v>
      </c>
      <c r="F20">
        <f>IMAGE("https://chmeetings.blob.core.windows.net/846969/attachments/LgS9b1PnVEaUrKe8jMljbw/e63a6371-6a4a-4741-aead-682ab4f50def.jpg")</f>
        <v/>
      </c>
      <c r="G20" t="inlineStr">
        <is>
          <t>Van Tony</t>
        </is>
      </c>
      <c r="H20" t="inlineStr">
        <is>
          <t>Male</t>
        </is>
      </c>
      <c r="I20" t="n">
        <v>31</v>
      </c>
      <c r="J20" t="inlineStr">
        <is>
          <t>(714) 248-5140</t>
        </is>
      </c>
      <c r="K20" t="inlineStr">
        <is>
          <t>tonyvan1030@gmail.com</t>
        </is>
      </c>
      <c r="L20" t="inlineStr">
        <is>
          <t>Tug-of-war</t>
        </is>
      </c>
      <c r="M20" t="inlineStr">
        <is>
          <t>Mixed</t>
        </is>
      </c>
      <c r="N20" t="inlineStr">
        <is>
          <t>Team</t>
        </is>
      </c>
      <c r="O20" t="inlineStr"/>
      <c r="P20" t="inlineStr"/>
    </row>
    <row r="21">
      <c r="A21" t="inlineStr">
        <is>
          <t>WSD</t>
        </is>
      </c>
      <c r="B21" t="inlineStr">
        <is>
          <t>3625889</t>
        </is>
      </c>
      <c r="C21" t="inlineStr">
        <is>
          <t>104</t>
        </is>
      </c>
      <c r="D21" t="inlineStr">
        <is>
          <t>validated</t>
        </is>
      </c>
      <c r="E21" t="b">
        <v>1</v>
      </c>
      <c r="F21">
        <f>IMAGE("https://chmeetings.blob.core.windows.net/846969/attachments/VduSCcfrdUWJ7gbl9GLKMw/75acb3df-696d-448f-8690-af924f8e215e.jpg")</f>
        <v/>
      </c>
      <c r="G21" t="inlineStr">
        <is>
          <t>Tran Timmy</t>
        </is>
      </c>
      <c r="H21" t="inlineStr">
        <is>
          <t>Male</t>
        </is>
      </c>
      <c r="I21" t="n">
        <v>19</v>
      </c>
      <c r="J21" t="inlineStr">
        <is>
          <t>(619) 719-0024</t>
        </is>
      </c>
      <c r="K21" t="inlineStr">
        <is>
          <t>timmyltran@gmail.com</t>
        </is>
      </c>
      <c r="L21" t="inlineStr">
        <is>
          <t>Tug-of-war</t>
        </is>
      </c>
      <c r="M21" t="inlineStr">
        <is>
          <t>Mixed</t>
        </is>
      </c>
      <c r="N21" t="inlineStr">
        <is>
          <t>Team</t>
        </is>
      </c>
      <c r="O21" t="inlineStr"/>
      <c r="P21" t="inlineStr"/>
    </row>
  </sheetData>
  <autoFilter ref="A1:P2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7.5" customWidth="1" min="1" max="1"/>
    <col width="5.5" customWidth="1" min="2" max="2"/>
    <col width="11.5" customWidth="1" min="3" max="3"/>
    <col width="12" customWidth="1" min="4" max="4"/>
    <col width="8.5" customWidth="1" min="5" max="5"/>
    <col width="50" customWidth="1" min="6" max="6"/>
    <col width="6" customWidth="1" min="7" max="7"/>
    <col width="4" customWidth="1" min="8" max="8"/>
    <col width="9" customWidth="1" min="9" max="9"/>
    <col width="9" customWidth="1" min="10" max="10"/>
    <col width="12.5" customWidth="1" min="11" max="11"/>
    <col width="5" customWidth="1" min="12" max="12"/>
    <col width="8" customWidth="1" min="13" max="13"/>
    <col width="5.5" customWidth="1" min="14" max="14"/>
    <col width="7" customWidth="1" min="15" max="15"/>
    <col width="7.5" customWidth="1" min="16" max="16"/>
  </cols>
  <sheetData>
    <row r="1">
      <c r="A1" t="inlineStr">
        <is>
          <t>Church Team</t>
        </is>
      </c>
      <c r="B1" t="inlineStr">
        <is>
          <t>ChMeetings ID</t>
        </is>
      </c>
      <c r="C1" t="inlineStr">
        <is>
          <t>Participant ID (WP)</t>
        </is>
      </c>
      <c r="D1" t="inlineStr">
        <is>
          <t>Approval_Status (WP)</t>
        </is>
      </c>
      <c r="E1" t="inlineStr">
        <is>
          <t>Is_Member_ChM</t>
        </is>
      </c>
      <c r="F1" t="inlineStr">
        <is>
          <t>Photo</t>
        </is>
      </c>
      <c r="G1" t="inlineStr">
        <is>
          <t>Full Name</t>
        </is>
      </c>
      <c r="H1" t="inlineStr">
        <is>
          <t>Gender</t>
        </is>
      </c>
      <c r="I1" t="inlineStr">
        <is>
          <t>Age (at Event)</t>
        </is>
      </c>
      <c r="J1" t="inlineStr">
        <is>
          <t>Mobile Phone</t>
        </is>
      </c>
      <c r="K1" t="inlineStr">
        <is>
          <t>Email</t>
        </is>
      </c>
      <c r="L1" t="inlineStr">
        <is>
          <t>sport_type</t>
        </is>
      </c>
      <c r="M1" t="inlineStr">
        <is>
          <t>sport_gender</t>
        </is>
      </c>
      <c r="N1" t="inlineStr">
        <is>
          <t>sport_format</t>
        </is>
      </c>
      <c r="O1" t="inlineStr">
        <is>
          <t>team_order</t>
        </is>
      </c>
      <c r="P1" t="inlineStr">
        <is>
          <t>partner_name</t>
        </is>
      </c>
    </row>
    <row r="2">
      <c r="A2" t="inlineStr">
        <is>
          <t>ORN</t>
        </is>
      </c>
      <c r="B2" t="inlineStr">
        <is>
          <t>3636312</t>
        </is>
      </c>
      <c r="C2" t="inlineStr">
        <is>
          <t>18</t>
        </is>
      </c>
      <c r="D2" t="inlineStr">
        <is>
          <t>validated</t>
        </is>
      </c>
      <c r="E2" t="b">
        <v>1</v>
      </c>
      <c r="F2">
        <f>IMAGE("https://chmeetings.blob.core.windows.net/846969/attachments/rmWCxWcMEGG5rXmhOlu0w/0885f487-e712-429a-b0e2-a388a96de779.jpg")</f>
        <v/>
      </c>
      <c r="G2" t="inlineStr">
        <is>
          <t>Ho Patrick</t>
        </is>
      </c>
      <c r="H2" t="inlineStr">
        <is>
          <t>Male</t>
        </is>
      </c>
      <c r="I2" t="n">
        <v>20</v>
      </c>
      <c r="J2" t="inlineStr">
        <is>
          <t>(840) 265-5989</t>
        </is>
      </c>
      <c r="K2" t="inlineStr">
        <is>
          <t>quangforwork105@gmail.com</t>
        </is>
      </c>
      <c r="L2" t="inlineStr">
        <is>
          <t>Tennis</t>
        </is>
      </c>
      <c r="M2" t="inlineStr">
        <is>
          <t>Men</t>
        </is>
      </c>
      <c r="N2" t="inlineStr">
        <is>
          <t>Singles</t>
        </is>
      </c>
      <c r="O2" t="inlineStr"/>
      <c r="P2" t="inlineStr"/>
    </row>
    <row r="3">
      <c r="A3" t="inlineStr">
        <is>
          <t>RPC</t>
        </is>
      </c>
      <c r="B3" t="inlineStr">
        <is>
          <t>3622254</t>
        </is>
      </c>
      <c r="C3" t="inlineStr">
        <is>
          <t>12</t>
        </is>
      </c>
      <c r="D3" t="inlineStr">
        <is>
          <t>pending</t>
        </is>
      </c>
      <c r="E3" t="b">
        <v>1</v>
      </c>
      <c r="F3">
        <f>IMAGE("https://chmeetings.blob.core.windows.net/846969/attachments/5NJ5RbEedbMYhRHg3aQ/440e3a48-4f2e-43e2-a71d-52fd0fb16bed.jpg")</f>
        <v/>
      </c>
      <c r="G3" t="inlineStr">
        <is>
          <t>Mai Serena</t>
        </is>
      </c>
      <c r="H3" t="inlineStr">
        <is>
          <t>Female</t>
        </is>
      </c>
      <c r="I3" t="n">
        <v>15</v>
      </c>
      <c r="J3" t="inlineStr">
        <is>
          <t>(714) 873-5541</t>
        </is>
      </c>
      <c r="K3" t="inlineStr">
        <is>
          <t>Serenaquynhnga@gmail.com</t>
        </is>
      </c>
      <c r="L3" t="inlineStr">
        <is>
          <t>Tennis</t>
        </is>
      </c>
      <c r="M3" t="inlineStr">
        <is>
          <t>Mixed</t>
        </is>
      </c>
      <c r="N3" t="inlineStr">
        <is>
          <t>Team</t>
        </is>
      </c>
      <c r="O3" t="inlineStr"/>
      <c r="P3" t="inlineStr"/>
    </row>
    <row r="4">
      <c r="A4" t="inlineStr">
        <is>
          <t>RPC</t>
        </is>
      </c>
      <c r="B4" t="inlineStr">
        <is>
          <t>3319022</t>
        </is>
      </c>
      <c r="C4" t="inlineStr">
        <is>
          <t>72</t>
        </is>
      </c>
      <c r="D4" t="inlineStr">
        <is>
          <t>validated</t>
        </is>
      </c>
      <c r="E4" t="b">
        <v>1</v>
      </c>
      <c r="F4">
        <f>IMAGE("https://chmeetings.blob.core.windows.net/846969/attachments/wgs7ZEXaUeEkguHnHo1g/c1df6443-764d-4695-a9b9-0a02dd2360f6.jpg")</f>
        <v/>
      </c>
      <c r="G4" t="inlineStr">
        <is>
          <t>Nguyen Dean</t>
        </is>
      </c>
      <c r="H4" t="inlineStr">
        <is>
          <t>Male</t>
        </is>
      </c>
      <c r="I4" t="n">
        <v>23</v>
      </c>
      <c r="J4" t="inlineStr">
        <is>
          <t>(714) 955-7492</t>
        </is>
      </c>
      <c r="K4" t="inlineStr">
        <is>
          <t>Deanbao3132@gmail.com</t>
        </is>
      </c>
      <c r="L4" t="inlineStr">
        <is>
          <t>Tennis</t>
        </is>
      </c>
      <c r="M4" t="inlineStr">
        <is>
          <t>Mixed</t>
        </is>
      </c>
      <c r="N4" t="inlineStr">
        <is>
          <t>Doubles</t>
        </is>
      </c>
      <c r="O4" t="inlineStr"/>
      <c r="P4" t="inlineStr">
        <is>
          <t>Janice</t>
        </is>
      </c>
    </row>
    <row r="5">
      <c r="A5" t="inlineStr">
        <is>
          <t>RPC</t>
        </is>
      </c>
      <c r="B5" t="inlineStr">
        <is>
          <t>4363699</t>
        </is>
      </c>
      <c r="C5" t="inlineStr">
        <is>
          <t>75</t>
        </is>
      </c>
      <c r="D5" t="inlineStr">
        <is>
          <t>validated</t>
        </is>
      </c>
      <c r="E5" t="b">
        <v>0</v>
      </c>
      <c r="F5">
        <f>IMAGE("https://chmeetings.blob.core.windows.net/846969/attachments/O0mpFpTI5EuryRbrCKsw/37a73f2c-30f6-4c19-981f-aa31acc8d5a0.jpg")</f>
        <v/>
      </c>
      <c r="G5" t="inlineStr">
        <is>
          <t>Vu Janice</t>
        </is>
      </c>
      <c r="H5" t="inlineStr">
        <is>
          <t>Female</t>
        </is>
      </c>
      <c r="I5" t="n">
        <v>24</v>
      </c>
      <c r="J5" t="inlineStr">
        <is>
          <t>(714) 989-9158</t>
        </is>
      </c>
      <c r="K5" t="inlineStr">
        <is>
          <t>Janvu545@gmail.com</t>
        </is>
      </c>
      <c r="L5" t="inlineStr">
        <is>
          <t>Tennis</t>
        </is>
      </c>
      <c r="M5" t="inlineStr">
        <is>
          <t>Mixed</t>
        </is>
      </c>
      <c r="N5" t="inlineStr">
        <is>
          <t>Doubles</t>
        </is>
      </c>
      <c r="O5" t="inlineStr"/>
      <c r="P5" t="inlineStr"/>
    </row>
    <row r="6">
      <c r="A6" t="inlineStr">
        <is>
          <t>SDC</t>
        </is>
      </c>
      <c r="B6" t="inlineStr">
        <is>
          <t>3476582</t>
        </is>
      </c>
      <c r="C6" t="inlineStr">
        <is>
          <t>25</t>
        </is>
      </c>
      <c r="D6" t="inlineStr">
        <is>
          <t>validated</t>
        </is>
      </c>
      <c r="E6" t="b">
        <v>1</v>
      </c>
      <c r="F6">
        <f>IMAGE("https://chmeetings.blob.core.windows.net/846969/attachments/Pnw3aHD5hEqlDsZTqeNkA/461b41a2-6769-490c-a301-c265e90ad64e.jpg")</f>
        <v/>
      </c>
      <c r="G6" t="inlineStr">
        <is>
          <t>Duong Viet</t>
        </is>
      </c>
      <c r="H6" t="inlineStr">
        <is>
          <t>Male</t>
        </is>
      </c>
      <c r="I6" t="n">
        <v>25</v>
      </c>
      <c r="J6" t="inlineStr">
        <is>
          <t>(619) 227-8495</t>
        </is>
      </c>
      <c r="K6" t="inlineStr">
        <is>
          <t>vietduong152205@gmail.com</t>
        </is>
      </c>
      <c r="L6" t="inlineStr">
        <is>
          <t>Tennis</t>
        </is>
      </c>
      <c r="M6" t="inlineStr">
        <is>
          <t>Mixed</t>
        </is>
      </c>
      <c r="N6" t="inlineStr">
        <is>
          <t>Doubles</t>
        </is>
      </c>
      <c r="O6" t="inlineStr"/>
      <c r="P6" t="inlineStr">
        <is>
          <t>Ly Nguyen</t>
        </is>
      </c>
    </row>
    <row r="7">
      <c r="A7" t="inlineStr">
        <is>
          <t>SDC</t>
        </is>
      </c>
      <c r="B7" t="inlineStr">
        <is>
          <t>4361942</t>
        </is>
      </c>
      <c r="C7" t="inlineStr">
        <is>
          <t>22</t>
        </is>
      </c>
      <c r="D7" t="inlineStr">
        <is>
          <t>validated</t>
        </is>
      </c>
      <c r="E7" t="b">
        <v>1</v>
      </c>
      <c r="F7">
        <f>IMAGE("https://chmeetings.blob.core.windows.net/846969/attachments/oBxVmMKo9U2QdhPSUPgpfg/1595e1f5-6f42-49d1-a76e-b49ba082ce9e.jpg")</f>
        <v/>
      </c>
      <c r="G7" t="inlineStr">
        <is>
          <t>Nguyen Ly</t>
        </is>
      </c>
      <c r="H7" t="inlineStr">
        <is>
          <t>Female</t>
        </is>
      </c>
      <c r="I7" t="n">
        <v>22</v>
      </c>
      <c r="J7" t="inlineStr">
        <is>
          <t>(619) 724-8444</t>
        </is>
      </c>
      <c r="K7" t="inlineStr">
        <is>
          <t>Nguyenly0818@yahoo.com</t>
        </is>
      </c>
      <c r="L7" t="inlineStr">
        <is>
          <t>Tennis</t>
        </is>
      </c>
      <c r="M7" t="inlineStr">
        <is>
          <t>Mixed</t>
        </is>
      </c>
      <c r="N7" t="inlineStr">
        <is>
          <t>Doubles</t>
        </is>
      </c>
      <c r="O7" t="inlineStr"/>
      <c r="P7" t="inlineStr">
        <is>
          <t>Viet Duong</t>
        </is>
      </c>
    </row>
    <row r="8">
      <c r="A8" t="inlineStr">
        <is>
          <t>WCC</t>
        </is>
      </c>
      <c r="B8" t="inlineStr">
        <is>
          <t>3636515</t>
        </is>
      </c>
      <c r="C8" t="inlineStr">
        <is>
          <t>135</t>
        </is>
      </c>
      <c r="D8" t="inlineStr">
        <is>
          <t>validated</t>
        </is>
      </c>
      <c r="E8" t="b">
        <v>1</v>
      </c>
      <c r="F8">
        <f>IMAGE("https://chmeetings.blob.core.windows.net/846969/attachments/jOasv15W9EGIhUP8ZS2m4g/c7928860-e892-47de-9581-5c2c5b4ce84a.jpg")</f>
        <v/>
      </c>
      <c r="G8" t="inlineStr">
        <is>
          <t>Duong Peter</t>
        </is>
      </c>
      <c r="H8" t="inlineStr">
        <is>
          <t>Male</t>
        </is>
      </c>
      <c r="I8" t="n">
        <v>29</v>
      </c>
      <c r="J8" t="inlineStr">
        <is>
          <t>(714) 723-2835</t>
        </is>
      </c>
      <c r="K8" t="inlineStr">
        <is>
          <t>19duong96@gmail.com</t>
        </is>
      </c>
      <c r="L8" t="inlineStr">
        <is>
          <t>Tennis</t>
        </is>
      </c>
      <c r="M8" t="inlineStr">
        <is>
          <t>Men</t>
        </is>
      </c>
      <c r="N8" t="inlineStr">
        <is>
          <t>Doubles</t>
        </is>
      </c>
      <c r="O8" t="inlineStr"/>
      <c r="P8" t="inlineStr">
        <is>
          <t>Tony van</t>
        </is>
      </c>
    </row>
    <row r="9">
      <c r="A9" t="inlineStr">
        <is>
          <t>WCC</t>
        </is>
      </c>
      <c r="B9" t="inlineStr">
        <is>
          <t>3636090</t>
        </is>
      </c>
      <c r="C9" t="inlineStr">
        <is>
          <t>136</t>
        </is>
      </c>
      <c r="D9" t="inlineStr">
        <is>
          <t>validated</t>
        </is>
      </c>
      <c r="E9" t="b">
        <v>1</v>
      </c>
      <c r="F9">
        <f>IMAGE("https://chmeetings.blob.core.windows.net/846969/attachments/LgS9b1PnVEaUrKe8jMljbw/e63a6371-6a4a-4741-aead-682ab4f50def.jpg")</f>
        <v/>
      </c>
      <c r="G9" t="inlineStr">
        <is>
          <t>Van Tony</t>
        </is>
      </c>
      <c r="H9" t="inlineStr">
        <is>
          <t>Male</t>
        </is>
      </c>
      <c r="I9" t="n">
        <v>31</v>
      </c>
      <c r="J9" t="inlineStr">
        <is>
          <t>(714) 248-5140</t>
        </is>
      </c>
      <c r="K9" t="inlineStr">
        <is>
          <t>tonyvan1030@gmail.com</t>
        </is>
      </c>
      <c r="L9" t="inlineStr">
        <is>
          <t>Tennis</t>
        </is>
      </c>
      <c r="M9" t="inlineStr">
        <is>
          <t>Men</t>
        </is>
      </c>
      <c r="N9" t="inlineStr">
        <is>
          <t>Doubles</t>
        </is>
      </c>
      <c r="O9" t="inlineStr"/>
      <c r="P9" t="inlineStr">
        <is>
          <t>Peter Duong</t>
        </is>
      </c>
    </row>
  </sheetData>
  <autoFilter ref="A1:P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2026-05-04T05:23:47Z</dcterms:created>
  <dcterms:modified xmlns:dcterms="http://purl.org/dc/terms/" xmlns:xsi="http://www.w3.org/2001/XMLSchema-instance" xsi:type="dcterms:W3CDTF">2026-05-04T05:23:47Z</dcterms:modified>
</cp:coreProperties>
</file>