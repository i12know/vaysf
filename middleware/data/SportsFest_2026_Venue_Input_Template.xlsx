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ue-Input" sheetId="1" state="visible" r:id="rId1"/>
    <sheet name="Gym-Modes" sheetId="2" state="visible" r:id="rId2"/>
    <sheet name="Playoff-S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0" customWidth="1" min="4" max="4"/>
    <col width="8" customWidth="1" min="5" max="5"/>
    <col width="12" customWidth="1" min="6" max="6"/>
    <col width="12" customWidth="1" min="7" max="7"/>
    <col width="16" customWidth="1" min="8" max="8"/>
    <col width="14" customWidth="1" min="9" max="9"/>
    <col width="16" customWidth="1" min="10" max="10"/>
    <col width="22" customWidth="1" min="11" max="11"/>
    <col width="16" customWidth="1" min="12" max="12"/>
    <col width="10" customWidth="1" min="13" max="13"/>
    <col width="28" customWidth="1" min="14" max="14"/>
  </cols>
  <sheetData>
    <row r="1">
      <c r="A1" s="1" t="inlineStr">
        <is>
          <t>Pod Name</t>
        </is>
      </c>
      <c r="B1" s="1" t="inlineStr">
        <is>
          <t>Venue Name</t>
        </is>
      </c>
      <c r="C1" s="1" t="inlineStr">
        <is>
          <t>Resource Type</t>
        </is>
      </c>
      <c r="D1" s="1" t="inlineStr">
        <is>
          <t>Quantity</t>
        </is>
      </c>
      <c r="E1" s="1" t="inlineStr">
        <is>
          <t>Day</t>
        </is>
      </c>
      <c r="F1" s="1" t="inlineStr">
        <is>
          <t>Date</t>
        </is>
      </c>
      <c r="G1" s="1" t="inlineStr">
        <is>
          <t>Start Time</t>
        </is>
      </c>
      <c r="H1" s="1" t="inlineStr">
        <is>
          <t>Last Start Time</t>
        </is>
      </c>
      <c r="I1" s="1" t="inlineStr">
        <is>
          <t>Slot Minutes</t>
        </is>
      </c>
      <c r="J1" s="1" t="inlineStr">
        <is>
          <t>Available Slots</t>
        </is>
      </c>
      <c r="K1" s="1" t="inlineStr">
        <is>
          <t>Exclusive Venue Group</t>
        </is>
      </c>
      <c r="L1" s="1" t="inlineStr">
        <is>
          <t>Contact</t>
        </is>
      </c>
      <c r="M1" s="1" t="inlineStr">
        <is>
          <t>Cost</t>
        </is>
      </c>
      <c r="N1" s="1" t="inlineStr">
        <is>
          <t>Notes</t>
        </is>
      </c>
    </row>
    <row r="2">
      <c r="A2" t="inlineStr">
        <is>
          <t>Main Gym</t>
        </is>
      </c>
      <c r="B2" t="inlineStr">
        <is>
          <t>Church Main Gym</t>
        </is>
      </c>
      <c r="C2" t="inlineStr">
        <is>
          <t>Basketball Court</t>
        </is>
      </c>
      <c r="D2" t="n">
        <v>1</v>
      </c>
      <c r="E2" t="inlineStr">
        <is>
          <t>Sat-1</t>
        </is>
      </c>
      <c r="F2" t="inlineStr">
        <is>
          <t>2026-07-19</t>
        </is>
      </c>
      <c r="G2" t="n">
        <v>8</v>
      </c>
      <c r="H2" t="n">
        <v>20</v>
      </c>
      <c r="I2" t="n">
        <v>60</v>
      </c>
      <c r="J2">
        <f>D2*(((H2-G2)*60/I2)+1)</f>
        <v/>
      </c>
      <c r="K2" t="inlineStr">
        <is>
          <t>Main Gym</t>
        </is>
      </c>
      <c r="L2" t="inlineStr">
        <is>
          <t>TBD</t>
        </is>
      </c>
      <c r="M2" t="inlineStr">
        <is>
          <t>TBD</t>
        </is>
      </c>
      <c r="N2" t="inlineStr">
        <is>
          <t>BB or VB — set Gym-Modes</t>
        </is>
      </c>
    </row>
    <row r="3">
      <c r="A3" t="inlineStr">
        <is>
          <t>Main Gym</t>
        </is>
      </c>
      <c r="B3" t="inlineStr">
        <is>
          <t>Church Main Gym</t>
        </is>
      </c>
      <c r="C3" t="inlineStr">
        <is>
          <t>Volleyball Court</t>
        </is>
      </c>
      <c r="D3" t="n">
        <v>2</v>
      </c>
      <c r="E3" t="inlineStr">
        <is>
          <t>Sat-1</t>
        </is>
      </c>
      <c r="F3" t="inlineStr">
        <is>
          <t>2026-07-19</t>
        </is>
      </c>
      <c r="G3" t="n">
        <v>8</v>
      </c>
      <c r="H3" t="n">
        <v>20</v>
      </c>
      <c r="I3" t="n">
        <v>60</v>
      </c>
      <c r="J3">
        <f>D3*(((H3-G3)*60/I3)+1)</f>
        <v/>
      </c>
      <c r="K3" t="inlineStr">
        <is>
          <t>Main Gym</t>
        </is>
      </c>
      <c r="L3" t="inlineStr">
        <is>
          <t>TBD</t>
        </is>
      </c>
      <c r="M3" t="inlineStr">
        <is>
          <t>TBD</t>
        </is>
      </c>
      <c r="N3" t="inlineStr">
        <is>
          <t>BB or VB — set Gym-Modes</t>
        </is>
      </c>
    </row>
    <row r="4">
      <c r="A4" t="inlineStr">
        <is>
          <t>North OC Tennis Pod</t>
        </is>
      </c>
      <c r="B4" t="inlineStr">
        <is>
          <t>City Park</t>
        </is>
      </c>
      <c r="C4" t="inlineStr">
        <is>
          <t>Tennis Court</t>
        </is>
      </c>
      <c r="D4" t="n">
        <v>4</v>
      </c>
      <c r="E4" t="inlineStr">
        <is>
          <t>Sun-1</t>
        </is>
      </c>
      <c r="F4" t="inlineStr">
        <is>
          <t>2026-07-20</t>
        </is>
      </c>
      <c r="G4" t="n">
        <v>13</v>
      </c>
      <c r="H4" t="n">
        <v>18</v>
      </c>
      <c r="I4" t="n">
        <v>60</v>
      </c>
      <c r="J4">
        <f>D4*(((H4-G4)*60/I4)+1)</f>
        <v/>
      </c>
      <c r="K4" t="inlineStr"/>
      <c r="L4" t="inlineStr">
        <is>
          <t>TBD</t>
        </is>
      </c>
      <c r="M4" t="inlineStr">
        <is>
          <t>TBD</t>
        </is>
      </c>
      <c r="N4" t="inlineStr">
        <is>
          <t>Staff verified usable</t>
        </is>
      </c>
    </row>
    <row r="5">
      <c r="A5" t="inlineStr">
        <is>
          <t>Pickleball Pod A</t>
        </is>
      </c>
      <c r="B5" t="inlineStr">
        <is>
          <t>Community Center</t>
        </is>
      </c>
      <c r="C5" t="inlineStr">
        <is>
          <t>Pickleball Court</t>
        </is>
      </c>
      <c r="D5" t="n">
        <v>6</v>
      </c>
      <c r="E5" t="inlineStr">
        <is>
          <t>Sun-1</t>
        </is>
      </c>
      <c r="F5" t="inlineStr">
        <is>
          <t>2026-07-20</t>
        </is>
      </c>
      <c r="G5" t="n">
        <v>13</v>
      </c>
      <c r="H5" t="n">
        <v>18</v>
      </c>
      <c r="I5" t="n">
        <v>45</v>
      </c>
      <c r="J5">
        <f>D5*(((H5-G5)*60/I5)+1)</f>
        <v/>
      </c>
      <c r="K5" t="inlineStr"/>
      <c r="L5" t="inlineStr">
        <is>
          <t>TBD</t>
        </is>
      </c>
      <c r="M5" t="inlineStr">
        <is>
          <t>TBD</t>
        </is>
      </c>
      <c r="N5" t="inlineStr">
        <is>
          <t>Includes 35+</t>
        </is>
      </c>
    </row>
    <row r="6">
      <c r="A6" t="inlineStr">
        <is>
          <t>Indoor Table Pod</t>
        </is>
      </c>
      <c r="B6" t="inlineStr">
        <is>
          <t>Church Hall</t>
        </is>
      </c>
      <c r="C6" t="inlineStr">
        <is>
          <t>Table Tennis Table</t>
        </is>
      </c>
      <c r="D6" t="n">
        <v>6</v>
      </c>
      <c r="E6" t="inlineStr">
        <is>
          <t>Sun-2</t>
        </is>
      </c>
      <c r="F6" t="inlineStr">
        <is>
          <t>2026-07-26</t>
        </is>
      </c>
      <c r="G6" t="n">
        <v>18</v>
      </c>
      <c r="H6" t="n">
        <v>21</v>
      </c>
      <c r="I6" t="n">
        <v>30</v>
      </c>
      <c r="J6">
        <f>D6*(((H6-G6)*60/I6)+1)</f>
        <v/>
      </c>
      <c r="K6" t="inlineStr"/>
      <c r="L6" t="inlineStr">
        <is>
          <t>TBD</t>
        </is>
      </c>
      <c r="M6" t="inlineStr">
        <is>
          <t>TBD</t>
        </is>
      </c>
      <c r="N6" t="inlineStr">
        <is>
          <t>Includes 35+</t>
        </is>
      </c>
    </row>
    <row r="7">
      <c r="A7" t="inlineStr">
        <is>
          <t>Badminton Pod</t>
        </is>
      </c>
      <c r="B7" t="inlineStr">
        <is>
          <t>School Gym</t>
        </is>
      </c>
      <c r="C7" t="inlineStr">
        <is>
          <t>Badminton Court</t>
        </is>
      </c>
      <c r="D7" t="n">
        <v>4</v>
      </c>
      <c r="E7" t="inlineStr">
        <is>
          <t>Sun-2</t>
        </is>
      </c>
      <c r="F7" t="inlineStr">
        <is>
          <t>2026-07-26</t>
        </is>
      </c>
      <c r="G7" t="n">
        <v>18</v>
      </c>
      <c r="H7" t="n">
        <v>21</v>
      </c>
      <c r="I7" t="n">
        <v>45</v>
      </c>
      <c r="J7">
        <f>D7*(((H7-G7)*60/I7)+1)</f>
        <v/>
      </c>
      <c r="K7" t="inlineStr"/>
      <c r="L7" t="inlineStr">
        <is>
          <t>TBD</t>
        </is>
      </c>
      <c r="M7" t="inlineStr">
        <is>
          <t>TBD</t>
        </is>
      </c>
      <c r="N7" t="inlineStr">
        <is>
          <t>Staff verified usable</t>
        </is>
      </c>
    </row>
    <row r="9">
      <c r="A9" t="inlineStr">
        <is>
          <t>Available Slots formula: =D*(((H-G)*60/I)+1). Day: Sat-1, Sun-1, Sat-2, Sun-2. Exclusive Venue Group: same label on gym rows sharing a physical gym.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Gym Name</t>
        </is>
      </c>
      <c r="B1" s="1" t="inlineStr">
        <is>
          <t>Basketball Courts</t>
        </is>
      </c>
      <c r="C1" s="1" t="inlineStr">
        <is>
          <t>Volleyball Courts</t>
        </is>
      </c>
      <c r="D1" s="1" t="inlineStr">
        <is>
          <t>Badminton Courts</t>
        </is>
      </c>
      <c r="E1" s="1" t="inlineStr">
        <is>
          <t>Pickleball Courts</t>
        </is>
      </c>
      <c r="F1" s="1" t="inlineStr">
        <is>
          <t>Soccer Fields</t>
        </is>
      </c>
    </row>
    <row r="2">
      <c r="A2" t="inlineStr">
        <is>
          <t>Main Gym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</row>
    <row r="3">
      <c r="A3" t="inlineStr">
        <is>
          <t>Side Gym</t>
        </is>
      </c>
      <c r="B3" t="n">
        <v>0</v>
      </c>
      <c r="C3" t="n">
        <v>0</v>
      </c>
      <c r="D3" t="n">
        <v>4</v>
      </c>
      <c r="E3" t="n">
        <v>2</v>
      </c>
      <c r="F3" t="n">
        <v>0</v>
      </c>
    </row>
    <row r="5">
      <c r="A5" t="inlineStr">
        <is>
          <t>Gym Name must match Exclusive Venue Group in Venue-Input. Enter courts per mode (0 = not available).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8" customWidth="1" min="4" max="4"/>
    <col width="14" customWidth="1" min="5" max="5"/>
  </cols>
  <sheetData>
    <row r="1">
      <c r="A1" s="1" t="inlineStr">
        <is>
          <t>game_id</t>
        </is>
      </c>
      <c r="B1" s="1" t="inlineStr">
        <is>
          <t>event</t>
        </is>
      </c>
      <c r="C1" s="1" t="inlineStr">
        <is>
          <t>stage</t>
        </is>
      </c>
      <c r="D1" s="1" t="inlineStr">
        <is>
          <t>resource_id</t>
        </is>
      </c>
      <c r="E1" s="1" t="inlineStr">
        <is>
          <t>slot</t>
        </is>
      </c>
    </row>
    <row r="3">
      <c r="A3" t="inlineStr">
        <is>
          <t>Add one row per playoff game. resource_id and slot must match generated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2026-05-17T19:02:34Z</dcterms:created>
  <dcterms:modified xsi:type="dcterms:W3CDTF">2026-05-17T19:02:34Z</dcterms:modified>
</cp:coreProperties>
</file>